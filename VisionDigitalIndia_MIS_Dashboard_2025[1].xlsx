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MIS Monthly Report" sheetId="2" state="visible" r:id="rId4"/>
    <sheet name="SLA Dashboard" sheetId="3" state="visible" r:id="rId5"/>
    <sheet name="Client Query Log" sheetId="4" state="visible" r:id="rId6"/>
    <sheet name="Pivot 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<sst xmlns="http://schemas.openxmlformats.org/spreadsheetml/2006/main" count="502" uniqueCount="184">
  <si>
    <t xml:space="preserve">Month</t>
  </si>
  <si>
    <t xml:space="preserve">Service</t>
  </si>
  <si>
    <t xml:space="preserve">Tickets Raised</t>
  </si>
  <si>
    <t xml:space="preserve">Tickets Resolved</t>
  </si>
  <si>
    <t xml:space="preserve">SLA Breaches</t>
  </si>
  <si>
    <t xml:space="preserve">Avg Resolution (hrs)</t>
  </si>
  <si>
    <t xml:space="preserve">CSAT Score (%)</t>
  </si>
  <si>
    <t xml:space="preserve">Revenue (INR)</t>
  </si>
  <si>
    <t xml:space="preserve">Jan 2025</t>
  </si>
  <si>
    <t xml:space="preserve">Helpdesk Support</t>
  </si>
  <si>
    <t xml:space="preserve">Software Delivery</t>
  </si>
  <si>
    <t xml:space="preserve">Data Processing</t>
  </si>
  <si>
    <t xml:space="preserve">Network Ops</t>
  </si>
  <si>
    <t xml:space="preserve">Client Reporting</t>
  </si>
  <si>
    <t xml:space="preserve">Finance Advisory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</si>
  <si>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</si>
  <si>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</si>
  <si>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</si>
  <si>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</si>
  <si>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</si>
  <si>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</si>
  <si>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</si>
  <si>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</si>
  <si>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</si>
  <si>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</si>
  <si>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</si>
  <si>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VISION DIGITAL INDIA — MIS MONTHLY PERFORMANCE REPORT (2025)</t>
  </si>
  <si>
    <t xml:space="preserve">Business Analytics Dashboard Project  |  Prepared by: Musharraf Ghani Raza  |  Role: Business Analyst Intern  |  Period: Jan–Mar 2025</t>
  </si>
  <si>
    <t xml:space="preserve">Total Tickets Raised</t>
  </si>
  <si>
    <t xml:space="preserve">Total Tickets Resolved</t>
  </si>
  <si>
    <t xml:space="preserve">SLA Compliance %</t>
  </si>
  <si>
    <t xml:space="preserve">Avg CSAT Score</t>
  </si>
  <si>
    <t xml:space="preserve">Total Revenue (INR)</t>
  </si>
  <si>
    <t xml:space="preserve">MIS Reports Issued</t>
  </si>
  <si>
    <t xml:space="preserve">15</t>
  </si>
  <si>
    <t xml:space="preserve">Jan – Mar 2025</t>
  </si>
  <si>
    <t xml:space="preserve">Status</t>
  </si>
  <si>
    <t xml:space="preserve">January 2025</t>
  </si>
  <si>
    <t xml:space="preserve">REVIEW</t>
  </si>
  <si>
    <t xml:space="preserve">February 2025</t>
  </si>
  <si>
    <t xml:space="preserve">ON TRACK</t>
  </si>
  <si>
    <t xml:space="preserve">March 2025</t>
  </si>
  <si>
    <t xml:space="preserve">TOTAL / AVERAGE</t>
  </si>
  <si>
    <t xml:space="preserve">SERVICE-WISE PERFORMANCE BREAKDOWN</t>
  </si>
  <si>
    <t xml:space="preserve">CSAT (%)</t>
  </si>
  <si>
    <t xml:space="preserve">Performance</t>
  </si>
  <si>
    <t xml:space="preserve">HIGH</t>
  </si>
  <si>
    <t xml:space="preserve">MEDIUM</t>
  </si>
  <si>
    <t xml:space="preserve">SLA PERFORMANCE DASHBOARD — VISION DIGITAL INDIA (2025)</t>
  </si>
  <si>
    <t xml:space="preserve">Monitoring Period: January 2025 – March 2025  |  Analyst: Musharraf Ghani Raza</t>
  </si>
  <si>
    <t xml:space="preserve">#</t>
  </si>
  <si>
    <t xml:space="preserve">Service Category</t>
  </si>
  <si>
    <t xml:space="preserve">Target SLA %</t>
  </si>
  <si>
    <t xml:space="preserve">Jan Actual</t>
  </si>
  <si>
    <t xml:space="preserve">Feb Actual</t>
  </si>
  <si>
    <t xml:space="preserve">Mar Actual</t>
  </si>
  <si>
    <t xml:space="preserve">Avg Actual</t>
  </si>
  <si>
    <t xml:space="preserve">Variance</t>
  </si>
  <si>
    <t xml:space="preserve">Trend</t>
  </si>
  <si>
    <t xml:space="preserve">SLA Status</t>
  </si>
  <si>
    <t xml:space="preserve">↑ Improving</t>
  </si>
  <si>
    <t xml:space="preserve">AT RISK</t>
  </si>
  <si>
    <t xml:space="preserve">↑ Stable</t>
  </si>
  <si>
    <t xml:space="preserve">MET</t>
  </si>
  <si>
    <t xml:space="preserve">↑ Excellent</t>
  </si>
  <si>
    <t xml:space="preserve">WEEK-BY-WEEK SLA COMPLIANCE TRACKER</t>
  </si>
  <si>
    <t xml:space="preserve">Week</t>
  </si>
  <si>
    <t xml:space="preserve">Period</t>
  </si>
  <si>
    <t xml:space="preserve">Tickets In</t>
  </si>
  <si>
    <t xml:space="preserve">Resolved</t>
  </si>
  <si>
    <t xml:space="preserve">Breaches</t>
  </si>
  <si>
    <t xml:space="preserve">Compliance %</t>
  </si>
  <si>
    <t xml:space="preserve">CSAT %</t>
  </si>
  <si>
    <t xml:space="preserve">Escalations</t>
  </si>
  <si>
    <t xml:space="preserve">Revenue</t>
  </si>
  <si>
    <t xml:space="preserve">Flag</t>
  </si>
  <si>
    <t xml:space="preserve">W1</t>
  </si>
  <si>
    <t xml:space="preserve">01–07 Jan</t>
  </si>
  <si>
    <t xml:space="preserve">W2</t>
  </si>
  <si>
    <t xml:space="preserve">08–14 Jan</t>
  </si>
  <si>
    <t xml:space="preserve">OK</t>
  </si>
  <si>
    <t xml:space="preserve">W3</t>
  </si>
  <si>
    <t xml:space="preserve">15–21 Jan</t>
  </si>
  <si>
    <t xml:space="preserve">W4</t>
  </si>
  <si>
    <t xml:space="preserve">22–31 Jan</t>
  </si>
  <si>
    <t xml:space="preserve">W5</t>
  </si>
  <si>
    <t xml:space="preserve">01–07 Feb</t>
  </si>
  <si>
    <t xml:space="preserve">W6</t>
  </si>
  <si>
    <t xml:space="preserve">08–14 Feb</t>
  </si>
  <si>
    <t xml:space="preserve">W7</t>
  </si>
  <si>
    <t xml:space="preserve">15–21 Feb</t>
  </si>
  <si>
    <t xml:space="preserve">W8</t>
  </si>
  <si>
    <t xml:space="preserve">22–28 Feb</t>
  </si>
  <si>
    <t xml:space="preserve">W9</t>
  </si>
  <si>
    <t xml:space="preserve">01–07 Mar</t>
  </si>
  <si>
    <t xml:space="preserve">W10</t>
  </si>
  <si>
    <t xml:space="preserve">08–14 Mar</t>
  </si>
  <si>
    <t xml:space="preserve">W11</t>
  </si>
  <si>
    <t xml:space="preserve">15–21 Mar</t>
  </si>
  <si>
    <t xml:space="preserve">W12</t>
  </si>
  <si>
    <t xml:space="preserve">22–31 Mar</t>
  </si>
  <si>
    <t xml:space="preserve">CLIENT QUERY RESOLUTION LOG — JAN–MAR 2025</t>
  </si>
  <si>
    <t xml:space="preserve">Query ID</t>
  </si>
  <si>
    <t xml:space="preserve">Date Raised</t>
  </si>
  <si>
    <t xml:space="preserve">Client Name</t>
  </si>
  <si>
    <t xml:space="preserve">Query Type</t>
  </si>
  <si>
    <t xml:space="preserve">Assigned To</t>
  </si>
  <si>
    <t xml:space="preserve">Priority</t>
  </si>
  <si>
    <t xml:space="preserve">Date Resolved</t>
  </si>
  <si>
    <t xml:space="preserve">Resolution Time (hrs)</t>
  </si>
  <si>
    <t xml:space="preserve">Remarks</t>
  </si>
  <si>
    <t xml:space="preserve">QRY-2025-001</t>
  </si>
  <si>
    <t xml:space="preserve">02-Mar-2025</t>
  </si>
  <si>
    <t xml:space="preserve">GlobalFin</t>
  </si>
  <si>
    <t xml:space="preserve">Report Format</t>
  </si>
  <si>
    <t xml:space="preserve">Musharraf G. Raza</t>
  </si>
  <si>
    <t xml:space="preserve">LOW</t>
  </si>
  <si>
    <t xml:space="preserve">05-Mar-2025</t>
  </si>
  <si>
    <t xml:space="preserve">RESOLVED</t>
  </si>
  <si>
    <t xml:space="preserve">Resolved within SLA</t>
  </si>
  <si>
    <t xml:space="preserve">QRY-2025-002</t>
  </si>
  <si>
    <t xml:space="preserve">27-Feb-2025</t>
  </si>
  <si>
    <t xml:space="preserve">RetailMax</t>
  </si>
  <si>
    <t xml:space="preserve">SLA Dispute</t>
  </si>
  <si>
    <t xml:space="preserve">28-Feb-2025</t>
  </si>
  <si>
    <t xml:space="preserve">QRY-2025-003</t>
  </si>
  <si>
    <t xml:space="preserve">03-Feb-2025</t>
  </si>
  <si>
    <t xml:space="preserve">TechSoft Pvt Ltd</t>
  </si>
  <si>
    <t xml:space="preserve">04-Feb-2025</t>
  </si>
  <si>
    <t xml:space="preserve">QRY-2025-004</t>
  </si>
  <si>
    <t xml:space="preserve">12-Mar-2025</t>
  </si>
  <si>
    <t xml:space="preserve">14-Mar-2025</t>
  </si>
  <si>
    <t xml:space="preserve">QRY-2025-005</t>
  </si>
  <si>
    <t xml:space="preserve">06-Feb-2025</t>
  </si>
  <si>
    <t xml:space="preserve">DataSure</t>
  </si>
  <si>
    <t xml:space="preserve">Data Mismatch</t>
  </si>
  <si>
    <t xml:space="preserve">09-Feb-2025</t>
  </si>
  <si>
    <t xml:space="preserve">QRY-2025-006</t>
  </si>
  <si>
    <t xml:space="preserve">15-Jan-2025</t>
  </si>
  <si>
    <t xml:space="preserve">BuildRight</t>
  </si>
  <si>
    <t xml:space="preserve">16-Jan-2025</t>
  </si>
  <si>
    <t xml:space="preserve">QRY-2025-007</t>
  </si>
  <si>
    <t xml:space="preserve">07-Jan-2025</t>
  </si>
  <si>
    <t xml:space="preserve">KPI Clarification</t>
  </si>
  <si>
    <t xml:space="preserve">08-Jan-2025</t>
  </si>
  <si>
    <t xml:space="preserve">QRY-2025-008</t>
  </si>
  <si>
    <t xml:space="preserve">22-Feb-2025</t>
  </si>
  <si>
    <t xml:space="preserve">24-Feb-2025</t>
  </si>
  <si>
    <t xml:space="preserve">QRY-2025-009</t>
  </si>
  <si>
    <t xml:space="preserve">06-Mar-2025</t>
  </si>
  <si>
    <t xml:space="preserve">09-Mar-2025</t>
  </si>
  <si>
    <t xml:space="preserve">QRY-2025-010</t>
  </si>
  <si>
    <t xml:space="preserve">QRY-2025-011</t>
  </si>
  <si>
    <t xml:space="preserve">13-Jan-2025</t>
  </si>
  <si>
    <t xml:space="preserve">QRY-2025-012</t>
  </si>
  <si>
    <t xml:space="preserve">QRY-2025-013</t>
  </si>
  <si>
    <t xml:space="preserve">22-Jan-2025</t>
  </si>
  <si>
    <t xml:space="preserve">Dashboard Error</t>
  </si>
  <si>
    <t xml:space="preserve">QRY-2025-014</t>
  </si>
  <si>
    <t xml:space="preserve">15-Feb-2025</t>
  </si>
  <si>
    <t xml:space="preserve">16-Feb-2025</t>
  </si>
  <si>
    <t xml:space="preserve">QRY-2025-015</t>
  </si>
  <si>
    <t xml:space="preserve">QRY-2025-016</t>
  </si>
  <si>
    <t xml:space="preserve">11-Feb-2025</t>
  </si>
  <si>
    <t xml:space="preserve">Financial Discrepancy</t>
  </si>
  <si>
    <t xml:space="preserve">12-Feb-2025</t>
  </si>
  <si>
    <t xml:space="preserve">QRY-2025-017</t>
  </si>
  <si>
    <t xml:space="preserve">QRY-2025-018</t>
  </si>
  <si>
    <t xml:space="preserve">16-Mar-2025</t>
  </si>
  <si>
    <t xml:space="preserve">19-Mar-2025</t>
  </si>
  <si>
    <t xml:space="preserve">QRY-2025-019</t>
  </si>
  <si>
    <t xml:space="preserve">05-Feb-2025</t>
  </si>
  <si>
    <t xml:space="preserve">08-Feb-2025</t>
  </si>
  <si>
    <t xml:space="preserve">QRY-2025-020</t>
  </si>
  <si>
    <t xml:space="preserve">23-Feb-2025</t>
  </si>
  <si>
    <t xml:space="preserve">26-Feb-2025</t>
  </si>
  <si>
    <t xml:space="preserve">QRY-2025-021</t>
  </si>
  <si>
    <t xml:space="preserve">28-Jan-2025</t>
  </si>
  <si>
    <t xml:space="preserve">Acme Corp</t>
  </si>
  <si>
    <t xml:space="preserve">QRY-2025-022</t>
  </si>
  <si>
    <t xml:space="preserve">05-Jan-2025</t>
  </si>
  <si>
    <t xml:space="preserve">PIVOT SUMMARY — SERVICE &amp; MONTH PERFORMANCE ANALYSIS</t>
  </si>
  <si>
    <t xml:space="preserve">Total</t>
  </si>
  <si>
    <t xml:space="preserve">GRAND 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</si>
</sst>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\₹#,##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AAAAAA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i val="true"/>
      <sz val="8"/>
      <color rgb="FFCCCCC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00B050"/>
      <name val="Arial"/>
      <family val="0"/>
      <charset val="1"/>
    </font>
    <font>
      <b val="true"/>
      <sz val="9"/>
      <color rgb="FF0F3460"/>
      <name val="Arial"/>
      <family val="0"/>
      <charset val="1"/>
    </font>
    <font>
      <b val="true"/>
      <sz val="9"/>
      <color rgb="FF0064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FFFFFF"/>
      <name val="Arial"/>
      <family val="0"/>
      <charset val="1"/>
    </font>
    <font>
      <sz val="9"/>
      <color rgb="FF00000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0F3460"/>
      </patternFill>
    </fill>
    <fill>
      <patternFill patternType="solid">
        <fgColor rgb="FFD6E4F7"/>
        <bgColor rgb="FFD9D9D9"/>
      </patternFill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1B5E20"/>
        <bgColor rgb="FF006400"/>
      </patternFill>
    </fill>
    <fill>
      <patternFill patternType="solid">
        <fgColor rgb="FFBF6900"/>
        <bgColor rgb="FFC0504D"/>
      </patternFill>
    </fill>
    <fill>
      <patternFill patternType="solid">
        <fgColor rgb="FF6A1B9A"/>
        <bgColor rgb="FF660066"/>
      </patternFill>
    </fill>
    <fill>
      <patternFill patternType="solid">
        <fgColor rgb="FF880E4F"/>
        <bgColor rgb="FF660066"/>
      </patternFill>
    </fill>
    <fill>
      <patternFill patternType="solid">
        <fgColor rgb="FF0D47A1"/>
        <bgColor rgb="FF1F3864"/>
      </patternFill>
    </fill>
    <fill>
      <patternFill patternType="solid">
        <fgColor rgb="FFFFC000"/>
        <bgColor rgb="FFFF9900"/>
      </patternFill>
    </fill>
    <fill>
      <patternFill patternType="solid">
        <fgColor rgb="FFF2F2F2"/>
        <bgColor rgb="FFFFFFFF"/>
      </patternFill>
    </fill>
    <fill>
      <patternFill patternType="solid">
        <fgColor rgb="FF00B050"/>
        <bgColor rgb="FF008080"/>
      </patternFill>
    </fill>
    <fill>
      <patternFill patternType="solid">
        <fgColor rgb="FF0F3460"/>
        <bgColor rgb="FF1F3864"/>
      </patternFill>
    </fill>
    <fill>
      <patternFill patternType="solid">
        <fgColor rgb="FFFF00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12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12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80E4F"/>
      <rgbColor rgb="FF1B5E20"/>
      <rgbColor rgb="FFBBBBBB"/>
      <rgbColor rgb="FF878787"/>
      <rgbColor rgb="FF9999FF"/>
      <rgbColor rgb="FFC0504D"/>
      <rgbColor rgb="FFF2F2F2"/>
      <rgbColor rgb="FFD6E4F7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6A1B9A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000"/>
      <rgbColor rgb="FFFF9900"/>
      <rgbColor rgb="FFBF6900"/>
      <rgbColor rgb="FF4A7EBB"/>
      <rgbColor rgb="FFAAAAAA"/>
      <rgbColor rgb="FF0F3460"/>
      <rgbColor rgb="FF00B050"/>
      <rgbColor rgb="FF16213E"/>
      <rgbColor rgb="FF1A1A2E"/>
      <rgbColor rgb="FF993300"/>
      <rgbColor rgb="FF993366"/>
      <rgbColor rgb="FF0D47A1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Weekly SLA Compliance %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'SLA Dashboard'!F13</c:f>
              <c:strCache>
                <c:ptCount val="1"/>
                <c:pt idx="0">
                  <c:v>Compliance %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'SLA Dashboard'!$A$14:$A$25</c:f>
              <c:strCache>
                <c:ptCount val="1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</c:strCache>
            </c:strRef>
          </c:cat>
          <c:val>
            <c:numRef>
              <c:f>'SLA Dashboard'!$F$14:$F$25</c:f>
              <c:numCache>
                <c:formatCode>0.0%</c:formatCode>
                <c:ptCount val="12"/>
                <c:pt idx="0">
                  <c:v>0.89</c:v>
                </c:pt>
                <c:pt idx="1">
                  <c:v>0.914</c:v>
                </c:pt>
                <c:pt idx="2">
                  <c:v>0.915</c:v>
                </c:pt>
                <c:pt idx="3">
                  <c:v>0.929</c:v>
                </c:pt>
                <c:pt idx="4">
                  <c:v>0.926</c:v>
                </c:pt>
                <c:pt idx="5">
                  <c:v>0.934</c:v>
                </c:pt>
                <c:pt idx="6">
                  <c:v>0.94</c:v>
                </c:pt>
                <c:pt idx="7">
                  <c:v>0.938</c:v>
                </c:pt>
                <c:pt idx="8">
                  <c:v>0.909</c:v>
                </c:pt>
                <c:pt idx="9">
                  <c:v>0.93</c:v>
                </c:pt>
                <c:pt idx="10">
                  <c:v>0.945</c:v>
                </c:pt>
                <c:pt idx="11">
                  <c:v>0.946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9180477"/>
        <c:axId val="92464893"/>
      </c:lineChart>
      <c:catAx>
        <c:axId val="591804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464893"/>
        <c:crosses val="autoZero"/>
        <c:auto val="1"/>
        <c:lblAlgn val="ctr"/>
        <c:lblOffset val="100"/>
        <c:noMultiLvlLbl val="0"/>
      </c:catAx>
      <c:valAx>
        <c:axId val="924648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Compliance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1804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Service — Jan to Mar 2025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Summary'!B3</c:f>
              <c:strCache>
                <c:ptCount val="1"/>
                <c:pt idx="0">
                  <c:v>Jan 2025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Summary'!$A$4:$A$9</c:f>
              <c:strCache>
                <c:ptCount val="6"/>
                <c:pt idx="0">
                  <c:v>Helpdesk Support</c:v>
                </c:pt>
                <c:pt idx="1">
                  <c:v>Software Delivery</c:v>
                </c:pt>
                <c:pt idx="2">
                  <c:v>Data Processing</c:v>
                </c:pt>
                <c:pt idx="3">
                  <c:v>Network Ops</c:v>
                </c:pt>
                <c:pt idx="4">
                  <c:v>Client Reporting</c:v>
                </c:pt>
                <c:pt idx="5">
                  <c:v>Finance Advisory</c:v>
                </c:pt>
              </c:strCache>
            </c:strRef>
          </c:cat>
          <c:val>
            <c:numRef>
              <c:f>'Pivot Summary'!$B$4:$B$9</c:f>
              <c:numCache>
                <c:formatCode>\₹#,##0</c:formatCode>
                <c:ptCount val="6"/>
                <c:pt idx="0">
                  <c:v>449781</c:v>
                </c:pt>
                <c:pt idx="1">
                  <c:v>621277</c:v>
                </c:pt>
                <c:pt idx="2">
                  <c:v>560956</c:v>
                </c:pt>
                <c:pt idx="3">
                  <c:v>585548</c:v>
                </c:pt>
                <c:pt idx="4">
                  <c:v>392563</c:v>
                </c:pt>
                <c:pt idx="5">
                  <c:v>507355</c:v>
                </c:pt>
              </c:numCache>
            </c:numRef>
          </c:val>
        </c:ser>
        <c:ser>
          <c:idx val="1"/>
          <c:order val="1"/>
          <c:tx>
            <c:strRef>
              <c:f>'Pivot Summary'!C3</c:f>
              <c:strCache>
                <c:ptCount val="1"/>
                <c:pt idx="0">
                  <c:v>Feb 2025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Summary'!$A$4:$A$9</c:f>
              <c:strCache>
                <c:ptCount val="6"/>
                <c:pt idx="0">
                  <c:v>Helpdesk Support</c:v>
                </c:pt>
                <c:pt idx="1">
                  <c:v>Software Delivery</c:v>
                </c:pt>
                <c:pt idx="2">
                  <c:v>Data Processing</c:v>
                </c:pt>
                <c:pt idx="3">
                  <c:v>Network Ops</c:v>
                </c:pt>
                <c:pt idx="4">
                  <c:v>Client Reporting</c:v>
                </c:pt>
                <c:pt idx="5">
                  <c:v>Finance Advisory</c:v>
                </c:pt>
              </c:strCache>
            </c:strRef>
          </c:cat>
          <c:val>
            <c:numRef>
              <c:f>'Pivot Summary'!$C$4:$C$9</c:f>
              <c:numCache>
                <c:formatCode>\₹#,##0</c:formatCode>
                <c:ptCount val="6"/>
                <c:pt idx="0">
                  <c:v>359088</c:v>
                </c:pt>
                <c:pt idx="1">
                  <c:v>305315</c:v>
                </c:pt>
                <c:pt idx="2">
                  <c:v>329351</c:v>
                </c:pt>
                <c:pt idx="3">
                  <c:v>310408</c:v>
                </c:pt>
                <c:pt idx="4">
                  <c:v>299658</c:v>
                </c:pt>
                <c:pt idx="5">
                  <c:v>499242</c:v>
                </c:pt>
              </c:numCache>
            </c:numRef>
          </c:val>
        </c:ser>
        <c:ser>
          <c:idx val="2"/>
          <c:order val="2"/>
          <c:tx>
            <c:strRef>
              <c:f>'Pivot Summary'!D3</c:f>
              <c:strCache>
                <c:ptCount val="1"/>
                <c:pt idx="0">
                  <c:v>Mar 2025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Summary'!$A$4:$A$9</c:f>
              <c:strCache>
                <c:ptCount val="6"/>
                <c:pt idx="0">
                  <c:v>Helpdesk Support</c:v>
                </c:pt>
                <c:pt idx="1">
                  <c:v>Software Delivery</c:v>
                </c:pt>
                <c:pt idx="2">
                  <c:v>Data Processing</c:v>
                </c:pt>
                <c:pt idx="3">
                  <c:v>Network Ops</c:v>
                </c:pt>
                <c:pt idx="4">
                  <c:v>Client Reporting</c:v>
                </c:pt>
                <c:pt idx="5">
                  <c:v>Finance Advisory</c:v>
                </c:pt>
              </c:strCache>
            </c:strRef>
          </c:cat>
          <c:val>
            <c:numRef>
              <c:f>'Pivot Summary'!$D$4:$D$9</c:f>
              <c:numCache>
                <c:formatCode>\₹#,##0</c:formatCode>
                <c:ptCount val="6"/>
                <c:pt idx="0">
                  <c:v>487001</c:v>
                </c:pt>
                <c:pt idx="1">
                  <c:v>317977</c:v>
                </c:pt>
                <c:pt idx="2">
                  <c:v>471726</c:v>
                </c:pt>
                <c:pt idx="3">
                  <c:v>546042</c:v>
                </c:pt>
                <c:pt idx="4">
                  <c:v>325061</c:v>
                </c:pt>
                <c:pt idx="5">
                  <c:v>316624</c:v>
                </c:pt>
              </c:numCache>
            </c:numRef>
          </c:val>
        </c:ser>
        <c:gapWidth val="150"/>
        <c:overlap val="0"/>
        <c:axId val="17619093"/>
        <c:axId val="41690303"/>
      </c:barChart>
      <c:catAx>
        <c:axId val="176190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Service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690303"/>
        <c:crosses val="autoZero"/>
        <c:auto val="1"/>
        <c:lblAlgn val="ctr"/>
        <c:lblOffset val="100"/>
        <c:noMultiLvlLbl val="0"/>
      </c:catAx>
      <c:valAx>
        <c:axId val="416903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(INR)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6190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27</xdr:row>
      <xdr:rowOff>0</xdr:rowOff>
    </xdr:from>
    <xdr:to>
      <xdr:col>9</xdr:col>
      <xdr:colOff>25200</xdr:colOff>
      <xdr:row>45</xdr:row>
      <xdr:rowOff>170640</xdr:rowOff>
    </xdr:to>
    <xdr:graphicFrame>
      <xdr:nvGraphicFramePr>
        <xdr:cNvPr id="0" name="Chart 1"/>
        <xdr:cNvGraphicFramePr/>
      </xdr:nvGraphicFramePr>
      <xdr:xfrm>
        <a:off x="0" y="544824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0</xdr:rowOff>
    </xdr:from>
    <xdr:to>
      <xdr:col>8</xdr:col>
      <xdr:colOff>587160</xdr:colOff>
      <xdr:row>35</xdr:row>
      <xdr:rowOff>128520</xdr:rowOff>
    </xdr:to>
    <xdr:graphicFrame>
      <xdr:nvGraphicFramePr>
        <xdr:cNvPr id="1" name="Chart 1"/>
        <xdr:cNvGraphicFramePr/>
      </xdr:nvGraphicFramePr>
      <xdr:xfrm>
        <a:off x="0" y="2638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8" min="7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3" t="s">
        <v>9</v>
      </c>
      <c r="C2" s="3" t="n">
        <v>161</v>
      </c>
      <c r="D2" s="3" t="n">
        <v>139</v>
      </c>
      <c r="E2" s="3" t="n">
        <v>0</v>
      </c>
      <c r="F2" s="3" t="n">
        <v>6.9</v>
      </c>
      <c r="G2" s="3" t="n">
        <v>78.4</v>
      </c>
      <c r="H2" s="3" t="n">
        <v>193158</v>
      </c>
    </row>
    <row r="3" customFormat="false" ht="15" hidden="false" customHeight="false" outlineLevel="0" collapsed="false">
      <c r="A3" s="4" t="s">
        <v>8</v>
      </c>
      <c r="B3" s="5" t="s">
        <v>10</v>
      </c>
      <c r="C3" s="5" t="n">
        <v>174</v>
      </c>
      <c r="D3" s="5" t="n">
        <v>150</v>
      </c>
      <c r="E3" s="5" t="n">
        <v>21</v>
      </c>
      <c r="F3" s="5" t="n">
        <v>6.9</v>
      </c>
      <c r="G3" s="5" t="n">
        <v>86.2</v>
      </c>
      <c r="H3" s="5" t="n">
        <v>429588</v>
      </c>
    </row>
    <row r="4" customFormat="false" ht="15" hidden="false" customHeight="false" outlineLevel="0" collapsed="false">
      <c r="A4" s="2" t="s">
        <v>8</v>
      </c>
      <c r="B4" s="3" t="s">
        <v>11</v>
      </c>
      <c r="C4" s="3" t="n">
        <v>134</v>
      </c>
      <c r="D4" s="3" t="n">
        <v>114</v>
      </c>
      <c r="E4" s="3" t="n">
        <v>0</v>
      </c>
      <c r="F4" s="3" t="n">
        <v>3.1</v>
      </c>
      <c r="G4" s="3" t="n">
        <v>78</v>
      </c>
      <c r="H4" s="3" t="n">
        <v>435631</v>
      </c>
    </row>
    <row r="5" customFormat="false" ht="15" hidden="false" customHeight="false" outlineLevel="0" collapsed="false">
      <c r="A5" s="4" t="s">
        <v>8</v>
      </c>
      <c r="B5" s="5" t="s">
        <v>12</v>
      </c>
      <c r="C5" s="5" t="n">
        <v>83</v>
      </c>
      <c r="D5" s="5" t="n">
        <v>78</v>
      </c>
      <c r="E5" s="5" t="n">
        <v>1</v>
      </c>
      <c r="F5" s="5" t="n">
        <v>6.8</v>
      </c>
      <c r="G5" s="5" t="n">
        <v>90.2</v>
      </c>
      <c r="H5" s="5" t="n">
        <v>339949</v>
      </c>
    </row>
    <row r="6" customFormat="false" ht="15" hidden="false" customHeight="false" outlineLevel="0" collapsed="false">
      <c r="A6" s="2" t="s">
        <v>8</v>
      </c>
      <c r="B6" s="3" t="s">
        <v>13</v>
      </c>
      <c r="C6" s="3" t="n">
        <v>108</v>
      </c>
      <c r="D6" s="3" t="n">
        <v>105</v>
      </c>
      <c r="E6" s="3" t="n">
        <v>2</v>
      </c>
      <c r="F6" s="3" t="n">
        <v>7.4</v>
      </c>
      <c r="G6" s="3" t="n">
        <v>72.2</v>
      </c>
      <c r="H6" s="3" t="n">
        <v>203707</v>
      </c>
    </row>
    <row r="7" customFormat="false" ht="15" hidden="false" customHeight="false" outlineLevel="0" collapsed="false">
      <c r="A7" s="4" t="s">
        <v>8</v>
      </c>
      <c r="B7" s="5" t="s">
        <v>14</v>
      </c>
      <c r="C7" s="5" t="n">
        <v>169</v>
      </c>
      <c r="D7" s="5" t="n">
        <v>156</v>
      </c>
      <c r="E7" s="5" t="n">
        <v>5</v>
      </c>
      <c r="F7" s="5" t="n">
        <v>4.2</v>
      </c>
      <c r="G7" s="5" t="n">
        <v>77.6</v>
      </c>
      <c r="H7" s="5" t="n">
        <v>296472</v>
      </c>
    </row>
    <row r="8" customFormat="false" ht="15" hidden="false" customHeight="false" outlineLevel="0" collapsed="false">
      <c r="A8" s="2" t="s">
        <v>15</v>
      </c>
      <c r="B8" s="3" t="s">
        <v>9</v>
      </c>
      <c r="C8" s="3" t="n">
        <v>93</v>
      </c>
      <c r="D8" s="3" t="n">
        <v>80</v>
      </c>
      <c r="E8" s="3" t="n">
        <v>6</v>
      </c>
      <c r="F8" s="3" t="n">
        <v>3.1</v>
      </c>
      <c r="G8" s="3" t="n">
        <v>94</v>
      </c>
      <c r="H8" s="3" t="n">
        <v>436526</v>
      </c>
    </row>
    <row r="9" customFormat="false" ht="15" hidden="false" customHeight="false" outlineLevel="0" collapsed="false">
      <c r="A9" s="4" t="s">
        <v>15</v>
      </c>
      <c r="B9" s="5" t="s">
        <v>10</v>
      </c>
      <c r="C9" s="5" t="n">
        <v>113</v>
      </c>
      <c r="D9" s="5" t="n">
        <v>97</v>
      </c>
      <c r="E9" s="5" t="n">
        <v>14</v>
      </c>
      <c r="F9" s="5" t="n">
        <v>5.7</v>
      </c>
      <c r="G9" s="5" t="n">
        <v>97.3</v>
      </c>
      <c r="H9" s="5" t="n">
        <v>318461</v>
      </c>
    </row>
    <row r="10" customFormat="false" ht="15" hidden="false" customHeight="false" outlineLevel="0" collapsed="false">
      <c r="A10" s="2" t="s">
        <v>15</v>
      </c>
      <c r="B10" s="3" t="s">
        <v>11</v>
      </c>
      <c r="C10" s="3" t="n">
        <v>90</v>
      </c>
      <c r="D10" s="3" t="n">
        <v>84</v>
      </c>
      <c r="E10" s="3" t="n">
        <v>2</v>
      </c>
      <c r="F10" s="3" t="n">
        <v>7.5</v>
      </c>
      <c r="G10" s="3" t="n">
        <v>88.1</v>
      </c>
      <c r="H10" s="3" t="n">
        <v>309600</v>
      </c>
    </row>
    <row r="11" customFormat="false" ht="15" hidden="false" customHeight="false" outlineLevel="0" collapsed="false">
      <c r="A11" s="4" t="s">
        <v>15</v>
      </c>
      <c r="B11" s="5" t="s">
        <v>12</v>
      </c>
      <c r="C11" s="5" t="n">
        <v>153</v>
      </c>
      <c r="D11" s="5" t="n">
        <v>136</v>
      </c>
      <c r="E11" s="5" t="n">
        <v>2</v>
      </c>
      <c r="F11" s="5" t="n">
        <v>2.8</v>
      </c>
      <c r="G11" s="5" t="n">
        <v>77.9</v>
      </c>
      <c r="H11" s="5" t="n">
        <v>271722</v>
      </c>
    </row>
    <row r="12" customFormat="false" ht="15" hidden="false" customHeight="false" outlineLevel="0" collapsed="false">
      <c r="A12" s="2" t="s">
        <v>15</v>
      </c>
      <c r="B12" s="3" t="s">
        <v>13</v>
      </c>
      <c r="C12" s="3" t="n">
        <v>90</v>
      </c>
      <c r="D12" s="3" t="n">
        <v>89</v>
      </c>
      <c r="E12" s="3" t="n">
        <v>0</v>
      </c>
      <c r="F12" s="3" t="n">
        <v>7.7</v>
      </c>
      <c r="G12" s="3" t="n">
        <v>81.9</v>
      </c>
      <c r="H12" s="3" t="n">
        <v>357717</v>
      </c>
    </row>
    <row r="13" customFormat="false" ht="15" hidden="false" customHeight="false" outlineLevel="0" collapsed="false">
      <c r="A13" s="4" t="s">
        <v>15</v>
      </c>
      <c r="B13" s="5" t="s">
        <v>14</v>
      </c>
      <c r="C13" s="5" t="n">
        <v>161</v>
      </c>
      <c r="D13" s="5" t="n">
        <v>147</v>
      </c>
      <c r="E13" s="5" t="n">
        <v>2</v>
      </c>
      <c r="F13" s="5" t="n">
        <v>4.7</v>
      </c>
      <c r="G13" s="5" t="n">
        <v>77.4</v>
      </c>
      <c r="H13" s="5" t="n">
        <v>259973</v>
      </c>
    </row>
    <row r="14" customFormat="false" ht="15" hidden="false" customHeight="false" outlineLevel="0" collapsed="false">
      <c r="A14" s="2" t="s">
        <v>16</v>
      </c>
      <c r="B14" s="3" t="s">
        <v>9</v>
      </c>
      <c r="C14" s="3" t="n">
        <v>169</v>
      </c>
      <c r="D14" s="3" t="n">
        <v>164</v>
      </c>
      <c r="E14" s="3" t="n">
        <v>5</v>
      </c>
      <c r="F14" s="3" t="n">
        <v>2.9</v>
      </c>
      <c r="G14" s="3" t="n">
        <v>88.5</v>
      </c>
      <c r="H14" s="3" t="n">
        <v>400043</v>
      </c>
    </row>
    <row r="15" customFormat="false" ht="15" hidden="false" customHeight="false" outlineLevel="0" collapsed="false">
      <c r="A15" s="4" t="s">
        <v>16</v>
      </c>
      <c r="B15" s="5" t="s">
        <v>10</v>
      </c>
      <c r="C15" s="5" t="n">
        <v>173</v>
      </c>
      <c r="D15" s="5" t="n">
        <v>154</v>
      </c>
      <c r="E15" s="5" t="n">
        <v>5</v>
      </c>
      <c r="F15" s="5" t="n">
        <v>5.3</v>
      </c>
      <c r="G15" s="5" t="n">
        <v>79</v>
      </c>
      <c r="H15" s="5" t="n">
        <v>455544</v>
      </c>
    </row>
    <row r="16" customFormat="false" ht="15" hidden="false" customHeight="false" outlineLevel="0" collapsed="false">
      <c r="A16" s="2" t="s">
        <v>16</v>
      </c>
      <c r="B16" s="3" t="s">
        <v>11</v>
      </c>
      <c r="C16" s="3" t="n">
        <v>168</v>
      </c>
      <c r="D16" s="3" t="n">
        <v>159</v>
      </c>
      <c r="E16" s="3" t="n">
        <v>3</v>
      </c>
      <c r="F16" s="3" t="n">
        <v>6.6</v>
      </c>
      <c r="G16" s="3" t="n">
        <v>93.9</v>
      </c>
      <c r="H16" s="3" t="n">
        <v>149327</v>
      </c>
    </row>
    <row r="17" customFormat="false" ht="15" hidden="false" customHeight="false" outlineLevel="0" collapsed="false">
      <c r="A17" s="4" t="s">
        <v>16</v>
      </c>
      <c r="B17" s="5" t="s">
        <v>12</v>
      </c>
      <c r="C17" s="5" t="n">
        <v>109</v>
      </c>
      <c r="D17" s="5" t="n">
        <v>93</v>
      </c>
      <c r="E17" s="5" t="n">
        <v>10</v>
      </c>
      <c r="F17" s="5" t="n">
        <v>4.9</v>
      </c>
      <c r="G17" s="5" t="n">
        <v>73.7</v>
      </c>
      <c r="H17" s="5" t="n">
        <v>417365</v>
      </c>
    </row>
    <row r="18" customFormat="false" ht="15" hidden="false" customHeight="false" outlineLevel="0" collapsed="false">
      <c r="A18" s="2" t="s">
        <v>16</v>
      </c>
      <c r="B18" s="3" t="s">
        <v>13</v>
      </c>
      <c r="C18" s="3" t="n">
        <v>192</v>
      </c>
      <c r="D18" s="3" t="n">
        <v>185</v>
      </c>
      <c r="E18" s="3" t="n">
        <v>5</v>
      </c>
      <c r="F18" s="3" t="n">
        <v>3.8</v>
      </c>
      <c r="G18" s="3" t="n">
        <v>85</v>
      </c>
      <c r="H18" s="3" t="n">
        <v>457039</v>
      </c>
    </row>
    <row r="19" customFormat="false" ht="15" hidden="false" customHeight="false" outlineLevel="0" collapsed="false">
      <c r="A19" s="4" t="s">
        <v>16</v>
      </c>
      <c r="B19" s="5" t="s">
        <v>14</v>
      </c>
      <c r="C19" s="5" t="n">
        <v>138</v>
      </c>
      <c r="D19" s="5" t="n">
        <v>121</v>
      </c>
      <c r="E19" s="5" t="n">
        <v>8</v>
      </c>
      <c r="F19" s="5" t="n">
        <v>3.3</v>
      </c>
      <c r="G19" s="5" t="n">
        <v>91.4</v>
      </c>
      <c r="H19" s="5" t="n">
        <v>402579</v>
      </c>
    </row>
    <row r="20" customFormat="false" ht="15" hidden="false" customHeight="false" outlineLevel="0" collapsed="false">
      <c r="A20" s="2" t="s">
        <v>17</v>
      </c>
      <c r="B20" s="3" t="s">
        <v>9</v>
      </c>
      <c r="C20" s="3" t="n">
        <v>113</v>
      </c>
      <c r="D20" s="3" t="n">
        <v>109</v>
      </c>
      <c r="E20" s="3" t="n">
        <v>4</v>
      </c>
      <c r="F20" s="3" t="n">
        <v>4.9</v>
      </c>
      <c r="G20" s="3" t="n">
        <v>77.7</v>
      </c>
      <c r="H20" s="3" t="n">
        <v>192525</v>
      </c>
    </row>
    <row r="21" customFormat="false" ht="15" hidden="false" customHeight="false" outlineLevel="0" collapsed="false">
      <c r="A21" s="4" t="s">
        <v>17</v>
      </c>
      <c r="B21" s="5" t="s">
        <v>10</v>
      </c>
      <c r="C21" s="5" t="n">
        <v>145</v>
      </c>
      <c r="D21" s="5" t="n">
        <v>138</v>
      </c>
      <c r="E21" s="5" t="n">
        <v>1</v>
      </c>
      <c r="F21" s="5" t="n">
        <v>7</v>
      </c>
      <c r="G21" s="5" t="n">
        <v>94.4</v>
      </c>
      <c r="H21" s="5" t="n">
        <v>200132</v>
      </c>
    </row>
    <row r="22" customFormat="false" ht="15" hidden="false" customHeight="false" outlineLevel="0" collapsed="false">
      <c r="A22" s="2" t="s">
        <v>17</v>
      </c>
      <c r="B22" s="3" t="s">
        <v>11</v>
      </c>
      <c r="C22" s="3" t="n">
        <v>160</v>
      </c>
      <c r="D22" s="3" t="n">
        <v>141</v>
      </c>
      <c r="E22" s="3" t="n">
        <v>13</v>
      </c>
      <c r="F22" s="3" t="n">
        <v>6.1</v>
      </c>
      <c r="G22" s="3" t="n">
        <v>82</v>
      </c>
      <c r="H22" s="3" t="n">
        <v>432417</v>
      </c>
    </row>
    <row r="23" customFormat="false" ht="15" hidden="false" customHeight="false" outlineLevel="0" collapsed="false">
      <c r="A23" s="4" t="s">
        <v>17</v>
      </c>
      <c r="B23" s="5" t="s">
        <v>12</v>
      </c>
      <c r="C23" s="5" t="n">
        <v>139</v>
      </c>
      <c r="D23" s="5" t="n">
        <v>134</v>
      </c>
      <c r="E23" s="5" t="n">
        <v>2</v>
      </c>
      <c r="F23" s="5" t="n">
        <v>8.3</v>
      </c>
      <c r="G23" s="5" t="n">
        <v>94.4</v>
      </c>
      <c r="H23" s="5" t="n">
        <v>126019</v>
      </c>
    </row>
    <row r="24" customFormat="false" ht="15" hidden="false" customHeight="false" outlineLevel="0" collapsed="false">
      <c r="A24" s="2" t="s">
        <v>17</v>
      </c>
      <c r="B24" s="3" t="s">
        <v>13</v>
      </c>
      <c r="C24" s="3" t="n">
        <v>167</v>
      </c>
      <c r="D24" s="3" t="n">
        <v>164</v>
      </c>
      <c r="E24" s="3" t="n">
        <v>0</v>
      </c>
      <c r="F24" s="3" t="n">
        <v>6.6</v>
      </c>
      <c r="G24" s="3" t="n">
        <v>86</v>
      </c>
      <c r="H24" s="3" t="n">
        <v>259893</v>
      </c>
    </row>
    <row r="25" customFormat="false" ht="15" hidden="false" customHeight="false" outlineLevel="0" collapsed="false">
      <c r="A25" s="4" t="s">
        <v>17</v>
      </c>
      <c r="B25" s="5" t="s">
        <v>14</v>
      </c>
      <c r="C25" s="5" t="n">
        <v>178</v>
      </c>
      <c r="D25" s="5" t="n">
        <v>171</v>
      </c>
      <c r="E25" s="5" t="n">
        <v>5</v>
      </c>
      <c r="F25" s="5" t="n">
        <v>3.2</v>
      </c>
      <c r="G25" s="5" t="n">
        <v>83.3</v>
      </c>
      <c r="H25" s="5" t="n">
        <v>357881</v>
      </c>
    </row>
    <row r="26" customFormat="false" ht="15" hidden="false" customHeight="false" outlineLevel="0" collapsed="false">
      <c r="A26" s="2" t="s">
        <v>18</v>
      </c>
      <c r="B26" s="3" t="s">
        <v>9</v>
      </c>
      <c r="C26" s="3" t="n">
        <v>80</v>
      </c>
      <c r="D26" s="3" t="n">
        <v>79</v>
      </c>
      <c r="E26" s="3" t="n">
        <v>1</v>
      </c>
      <c r="F26" s="3" t="n">
        <v>8.3</v>
      </c>
      <c r="G26" s="3" t="n">
        <v>91.8</v>
      </c>
      <c r="H26" s="3" t="n">
        <v>386171</v>
      </c>
    </row>
    <row r="27" customFormat="false" ht="15" hidden="false" customHeight="false" outlineLevel="0" collapsed="false">
      <c r="A27" s="4" t="s">
        <v>18</v>
      </c>
      <c r="B27" s="5" t="s">
        <v>10</v>
      </c>
      <c r="C27" s="5" t="n">
        <v>196</v>
      </c>
      <c r="D27" s="5" t="n">
        <v>169</v>
      </c>
      <c r="E27" s="5" t="n">
        <v>27</v>
      </c>
      <c r="F27" s="5" t="n">
        <v>6.3</v>
      </c>
      <c r="G27" s="5" t="n">
        <v>93.9</v>
      </c>
      <c r="H27" s="5" t="n">
        <v>386161</v>
      </c>
    </row>
    <row r="28" customFormat="false" ht="15" hidden="false" customHeight="false" outlineLevel="0" collapsed="false">
      <c r="A28" s="2" t="s">
        <v>18</v>
      </c>
      <c r="B28" s="3" t="s">
        <v>11</v>
      </c>
      <c r="C28" s="3" t="n">
        <v>157</v>
      </c>
      <c r="D28" s="3" t="n">
        <v>139</v>
      </c>
      <c r="E28" s="3" t="n">
        <v>4</v>
      </c>
      <c r="F28" s="3" t="n">
        <v>4.7</v>
      </c>
      <c r="G28" s="3" t="n">
        <v>76.2</v>
      </c>
      <c r="H28" s="3" t="n">
        <v>398058</v>
      </c>
    </row>
    <row r="29" customFormat="false" ht="15" hidden="false" customHeight="false" outlineLevel="0" collapsed="false">
      <c r="A29" s="4" t="s">
        <v>18</v>
      </c>
      <c r="B29" s="5" t="s">
        <v>12</v>
      </c>
      <c r="C29" s="5" t="n">
        <v>197</v>
      </c>
      <c r="D29" s="5" t="n">
        <v>167</v>
      </c>
      <c r="E29" s="5" t="n">
        <v>19</v>
      </c>
      <c r="F29" s="5" t="n">
        <v>4.4</v>
      </c>
      <c r="G29" s="5" t="n">
        <v>72.5</v>
      </c>
      <c r="H29" s="5" t="n">
        <v>310306</v>
      </c>
    </row>
    <row r="30" customFormat="false" ht="15" hidden="false" customHeight="false" outlineLevel="0" collapsed="false">
      <c r="A30" s="2" t="s">
        <v>18</v>
      </c>
      <c r="B30" s="3" t="s">
        <v>13</v>
      </c>
      <c r="C30" s="3" t="n">
        <v>192</v>
      </c>
      <c r="D30" s="3" t="n">
        <v>189</v>
      </c>
      <c r="E30" s="3" t="n">
        <v>2</v>
      </c>
      <c r="F30" s="3" t="n">
        <v>3.9</v>
      </c>
      <c r="G30" s="3" t="n">
        <v>78.3</v>
      </c>
      <c r="H30" s="3" t="n">
        <v>417458</v>
      </c>
    </row>
    <row r="31" customFormat="false" ht="15" hidden="false" customHeight="false" outlineLevel="0" collapsed="false">
      <c r="A31" s="4" t="s">
        <v>18</v>
      </c>
      <c r="B31" s="5" t="s">
        <v>14</v>
      </c>
      <c r="C31" s="5" t="n">
        <v>90</v>
      </c>
      <c r="D31" s="5" t="n">
        <v>77</v>
      </c>
      <c r="E31" s="5" t="n">
        <v>11</v>
      </c>
      <c r="F31" s="5" t="n">
        <v>5.4</v>
      </c>
      <c r="G31" s="5" t="n">
        <v>73.8</v>
      </c>
      <c r="H31" s="5" t="n">
        <v>399291</v>
      </c>
    </row>
    <row r="32" customFormat="false" ht="15" hidden="false" customHeight="false" outlineLevel="0" collapsed="false">
      <c r="A32" s="2" t="s">
        <v>19</v>
      </c>
      <c r="B32" s="3" t="s">
        <v>9</v>
      </c>
      <c r="C32" s="3" t="n">
        <v>178</v>
      </c>
      <c r="D32" s="3" t="n">
        <v>155</v>
      </c>
      <c r="E32" s="3" t="n">
        <v>4</v>
      </c>
      <c r="F32" s="3" t="n">
        <v>6.5</v>
      </c>
      <c r="G32" s="3" t="n">
        <v>96.6</v>
      </c>
      <c r="H32" s="3" t="n">
        <v>206574</v>
      </c>
    </row>
    <row r="33" customFormat="false" ht="15" hidden="false" customHeight="false" outlineLevel="0" collapsed="false">
      <c r="A33" s="4" t="s">
        <v>19</v>
      </c>
      <c r="B33" s="5" t="s">
        <v>10</v>
      </c>
      <c r="C33" s="5" t="n">
        <v>113</v>
      </c>
      <c r="D33" s="5" t="n">
        <v>112</v>
      </c>
      <c r="E33" s="5" t="n">
        <v>1</v>
      </c>
      <c r="F33" s="5" t="n">
        <v>8.3</v>
      </c>
      <c r="G33" s="5" t="n">
        <v>96.2</v>
      </c>
      <c r="H33" s="5" t="n">
        <v>225461</v>
      </c>
    </row>
    <row r="34" customFormat="false" ht="15" hidden="false" customHeight="false" outlineLevel="0" collapsed="false">
      <c r="A34" s="2" t="s">
        <v>19</v>
      </c>
      <c r="B34" s="3" t="s">
        <v>11</v>
      </c>
      <c r="C34" s="3" t="n">
        <v>171</v>
      </c>
      <c r="D34" s="3" t="n">
        <v>154</v>
      </c>
      <c r="E34" s="3" t="n">
        <v>12</v>
      </c>
      <c r="F34" s="3" t="n">
        <v>8.5</v>
      </c>
      <c r="G34" s="3" t="n">
        <v>88.9</v>
      </c>
      <c r="H34" s="3" t="n">
        <v>349690</v>
      </c>
    </row>
    <row r="35" customFormat="false" ht="15" hidden="false" customHeight="false" outlineLevel="0" collapsed="false">
      <c r="A35" s="4" t="s">
        <v>19</v>
      </c>
      <c r="B35" s="5" t="s">
        <v>12</v>
      </c>
      <c r="C35" s="5" t="n">
        <v>195</v>
      </c>
      <c r="D35" s="5" t="n">
        <v>181</v>
      </c>
      <c r="E35" s="5" t="n">
        <v>7</v>
      </c>
      <c r="F35" s="5" t="n">
        <v>3.2</v>
      </c>
      <c r="G35" s="5" t="n">
        <v>77.8</v>
      </c>
      <c r="H35" s="5" t="n">
        <v>297254</v>
      </c>
    </row>
    <row r="36" customFormat="false" ht="15" hidden="false" customHeight="false" outlineLevel="0" collapsed="false">
      <c r="A36" s="2" t="s">
        <v>19</v>
      </c>
      <c r="B36" s="3" t="s">
        <v>13</v>
      </c>
      <c r="C36" s="3" t="n">
        <v>82</v>
      </c>
      <c r="D36" s="3" t="n">
        <v>78</v>
      </c>
      <c r="E36" s="3" t="n">
        <v>4</v>
      </c>
      <c r="F36" s="3" t="n">
        <v>3.9</v>
      </c>
      <c r="G36" s="3" t="n">
        <v>77.7</v>
      </c>
      <c r="H36" s="3" t="n">
        <v>157220</v>
      </c>
    </row>
    <row r="37" customFormat="false" ht="15" hidden="false" customHeight="false" outlineLevel="0" collapsed="false">
      <c r="A37" s="4" t="s">
        <v>19</v>
      </c>
      <c r="B37" s="5" t="s">
        <v>14</v>
      </c>
      <c r="C37" s="5" t="n">
        <v>170</v>
      </c>
      <c r="D37" s="5" t="n">
        <v>164</v>
      </c>
      <c r="E37" s="5" t="n">
        <v>0</v>
      </c>
      <c r="F37" s="5" t="n">
        <v>3.9</v>
      </c>
      <c r="G37" s="5" t="n">
        <v>95.5</v>
      </c>
      <c r="H37" s="5" t="n">
        <v>293239</v>
      </c>
    </row>
    <row r="38" customFormat="false" ht="15" hidden="false" customHeight="false" outlineLevel="0" collapsed="false">
      <c r="A38" s="2" t="s">
        <v>20</v>
      </c>
      <c r="B38" s="3" t="s">
        <v>9</v>
      </c>
      <c r="C38" s="3" t="n">
        <v>89</v>
      </c>
      <c r="D38" s="3" t="n">
        <v>83</v>
      </c>
      <c r="E38" s="3" t="n">
        <v>1</v>
      </c>
      <c r="F38" s="3" t="n">
        <v>4.2</v>
      </c>
      <c r="G38" s="3" t="n">
        <v>84.6</v>
      </c>
      <c r="H38" s="3" t="n">
        <v>402713</v>
      </c>
    </row>
    <row r="39" customFormat="false" ht="15" hidden="false" customHeight="false" outlineLevel="0" collapsed="false">
      <c r="A39" s="4" t="s">
        <v>20</v>
      </c>
      <c r="B39" s="5" t="s">
        <v>10</v>
      </c>
      <c r="C39" s="5" t="n">
        <v>96</v>
      </c>
      <c r="D39" s="5" t="n">
        <v>96</v>
      </c>
      <c r="E39" s="5" t="n">
        <v>0</v>
      </c>
      <c r="F39" s="5" t="n">
        <v>7.2</v>
      </c>
      <c r="G39" s="5" t="n">
        <v>93</v>
      </c>
      <c r="H39" s="5" t="n">
        <v>219829</v>
      </c>
    </row>
    <row r="40" customFormat="false" ht="15" hidden="false" customHeight="false" outlineLevel="0" collapsed="false">
      <c r="A40" s="2" t="s">
        <v>20</v>
      </c>
      <c r="B40" s="3" t="s">
        <v>11</v>
      </c>
      <c r="C40" s="3" t="n">
        <v>92</v>
      </c>
      <c r="D40" s="3" t="n">
        <v>79</v>
      </c>
      <c r="E40" s="3" t="n">
        <v>10</v>
      </c>
      <c r="F40" s="3" t="n">
        <v>5.1</v>
      </c>
      <c r="G40" s="3" t="n">
        <v>83</v>
      </c>
      <c r="H40" s="3" t="n">
        <v>364855</v>
      </c>
    </row>
    <row r="41" customFormat="false" ht="15" hidden="false" customHeight="false" outlineLevel="0" collapsed="false">
      <c r="A41" s="4" t="s">
        <v>20</v>
      </c>
      <c r="B41" s="5" t="s">
        <v>12</v>
      </c>
      <c r="C41" s="5" t="n">
        <v>190</v>
      </c>
      <c r="D41" s="5" t="n">
        <v>184</v>
      </c>
      <c r="E41" s="5" t="n">
        <v>0</v>
      </c>
      <c r="F41" s="5" t="n">
        <v>6.5</v>
      </c>
      <c r="G41" s="5" t="n">
        <v>97.6</v>
      </c>
      <c r="H41" s="5" t="n">
        <v>171599</v>
      </c>
    </row>
    <row r="42" customFormat="false" ht="15" hidden="false" customHeight="false" outlineLevel="0" collapsed="false">
      <c r="A42" s="2" t="s">
        <v>20</v>
      </c>
      <c r="B42" s="3" t="s">
        <v>13</v>
      </c>
      <c r="C42" s="3" t="n">
        <v>87</v>
      </c>
      <c r="D42" s="3" t="n">
        <v>79</v>
      </c>
      <c r="E42" s="3" t="n">
        <v>5</v>
      </c>
      <c r="F42" s="3" t="n">
        <v>7.3</v>
      </c>
      <c r="G42" s="3" t="n">
        <v>74.8</v>
      </c>
      <c r="H42" s="3" t="n">
        <v>220448</v>
      </c>
    </row>
    <row r="43" customFormat="false" ht="15" hidden="false" customHeight="false" outlineLevel="0" collapsed="false">
      <c r="A43" s="4" t="s">
        <v>20</v>
      </c>
      <c r="B43" s="5" t="s">
        <v>14</v>
      </c>
      <c r="C43" s="5" t="n">
        <v>104</v>
      </c>
      <c r="D43" s="5" t="n">
        <v>102</v>
      </c>
      <c r="E43" s="5" t="n">
        <v>0</v>
      </c>
      <c r="F43" s="5" t="n">
        <v>5</v>
      </c>
      <c r="G43" s="5" t="n">
        <v>79.2</v>
      </c>
      <c r="H43" s="5" t="n">
        <v>250970</v>
      </c>
    </row>
    <row r="44" customFormat="false" ht="15" hidden="false" customHeight="false" outlineLevel="0" collapsed="false">
      <c r="A44" s="2" t="s">
        <v>21</v>
      </c>
      <c r="B44" s="3" t="s">
        <v>9</v>
      </c>
      <c r="C44" s="3" t="n">
        <v>191</v>
      </c>
      <c r="D44" s="3" t="n">
        <v>191</v>
      </c>
      <c r="E44" s="3" t="n">
        <v>0</v>
      </c>
      <c r="F44" s="3" t="n">
        <v>5.2</v>
      </c>
      <c r="G44" s="3" t="n">
        <v>94.4</v>
      </c>
      <c r="H44" s="3" t="n">
        <v>408528</v>
      </c>
    </row>
    <row r="45" customFormat="false" ht="15" hidden="false" customHeight="false" outlineLevel="0" collapsed="false">
      <c r="A45" s="4" t="s">
        <v>21</v>
      </c>
      <c r="B45" s="5" t="s">
        <v>10</v>
      </c>
      <c r="C45" s="5" t="n">
        <v>92</v>
      </c>
      <c r="D45" s="5" t="n">
        <v>78</v>
      </c>
      <c r="E45" s="5" t="n">
        <v>10</v>
      </c>
      <c r="F45" s="5" t="n">
        <v>8.5</v>
      </c>
      <c r="G45" s="5" t="n">
        <v>93.7</v>
      </c>
      <c r="H45" s="5" t="n">
        <v>168896</v>
      </c>
    </row>
    <row r="46" customFormat="false" ht="15" hidden="false" customHeight="false" outlineLevel="0" collapsed="false">
      <c r="A46" s="2" t="s">
        <v>21</v>
      </c>
      <c r="B46" s="3" t="s">
        <v>11</v>
      </c>
      <c r="C46" s="3" t="n">
        <v>198</v>
      </c>
      <c r="D46" s="3" t="n">
        <v>192</v>
      </c>
      <c r="E46" s="3" t="n">
        <v>6</v>
      </c>
      <c r="F46" s="3" t="n">
        <v>3.9</v>
      </c>
      <c r="G46" s="3" t="n">
        <v>82.6</v>
      </c>
      <c r="H46" s="3" t="n">
        <v>372370</v>
      </c>
    </row>
    <row r="47" customFormat="false" ht="15" hidden="false" customHeight="false" outlineLevel="0" collapsed="false">
      <c r="A47" s="4" t="s">
        <v>21</v>
      </c>
      <c r="B47" s="5" t="s">
        <v>12</v>
      </c>
      <c r="C47" s="5" t="n">
        <v>107</v>
      </c>
      <c r="D47" s="5" t="n">
        <v>102</v>
      </c>
      <c r="E47" s="5" t="n">
        <v>0</v>
      </c>
      <c r="F47" s="5" t="n">
        <v>3.5</v>
      </c>
      <c r="G47" s="5" t="n">
        <v>72.1</v>
      </c>
      <c r="H47" s="5" t="n">
        <v>324693</v>
      </c>
    </row>
    <row r="48" customFormat="false" ht="15" hidden="false" customHeight="false" outlineLevel="0" collapsed="false">
      <c r="A48" s="2" t="s">
        <v>21</v>
      </c>
      <c r="B48" s="3" t="s">
        <v>13</v>
      </c>
      <c r="C48" s="3" t="n">
        <v>113</v>
      </c>
      <c r="D48" s="3" t="n">
        <v>110</v>
      </c>
      <c r="E48" s="3" t="n">
        <v>2</v>
      </c>
      <c r="F48" s="3" t="n">
        <v>5</v>
      </c>
      <c r="G48" s="3" t="n">
        <v>96.9</v>
      </c>
      <c r="H48" s="3" t="n">
        <v>411382</v>
      </c>
    </row>
    <row r="49" customFormat="false" ht="15" hidden="false" customHeight="false" outlineLevel="0" collapsed="false">
      <c r="A49" s="4" t="s">
        <v>21</v>
      </c>
      <c r="B49" s="5" t="s">
        <v>14</v>
      </c>
      <c r="C49" s="5" t="n">
        <v>164</v>
      </c>
      <c r="D49" s="5" t="n">
        <v>161</v>
      </c>
      <c r="E49" s="5" t="n">
        <v>3</v>
      </c>
      <c r="F49" s="5" t="n">
        <v>3.4</v>
      </c>
      <c r="G49" s="5" t="n">
        <v>79.7</v>
      </c>
      <c r="H49" s="5" t="n">
        <v>150662</v>
      </c>
    </row>
    <row r="50" customFormat="false" ht="15" hidden="false" customHeight="false" outlineLevel="0" collapsed="false">
      <c r="A50" s="2" t="s">
        <v>22</v>
      </c>
      <c r="B50" s="3" t="s">
        <v>9</v>
      </c>
      <c r="C50" s="3" t="n">
        <v>154</v>
      </c>
      <c r="D50" s="3" t="n">
        <v>153</v>
      </c>
      <c r="E50" s="3" t="n">
        <v>0</v>
      </c>
      <c r="F50" s="3" t="n">
        <v>7</v>
      </c>
      <c r="G50" s="3" t="n">
        <v>73.5</v>
      </c>
      <c r="H50" s="3" t="n">
        <v>426277</v>
      </c>
    </row>
    <row r="51" customFormat="false" ht="15" hidden="false" customHeight="false" outlineLevel="0" collapsed="false">
      <c r="A51" s="4" t="s">
        <v>22</v>
      </c>
      <c r="B51" s="5" t="s">
        <v>10</v>
      </c>
      <c r="C51" s="5" t="n">
        <v>141</v>
      </c>
      <c r="D51" s="5" t="n">
        <v>135</v>
      </c>
      <c r="E51" s="5" t="n">
        <v>6</v>
      </c>
      <c r="F51" s="5" t="n">
        <v>5.7</v>
      </c>
      <c r="G51" s="5" t="n">
        <v>73.5</v>
      </c>
      <c r="H51" s="5" t="n">
        <v>386248</v>
      </c>
    </row>
    <row r="52" customFormat="false" ht="15" hidden="false" customHeight="false" outlineLevel="0" collapsed="false">
      <c r="A52" s="2" t="s">
        <v>22</v>
      </c>
      <c r="B52" s="3" t="s">
        <v>11</v>
      </c>
      <c r="C52" s="3" t="n">
        <v>90</v>
      </c>
      <c r="D52" s="3" t="n">
        <v>89</v>
      </c>
      <c r="E52" s="3" t="n">
        <v>0</v>
      </c>
      <c r="F52" s="3" t="n">
        <v>2.9</v>
      </c>
      <c r="G52" s="3" t="n">
        <v>73.8</v>
      </c>
      <c r="H52" s="3" t="n">
        <v>243314</v>
      </c>
    </row>
    <row r="53" customFormat="false" ht="15" hidden="false" customHeight="false" outlineLevel="0" collapsed="false">
      <c r="A53" s="4" t="s">
        <v>22</v>
      </c>
      <c r="B53" s="5" t="s">
        <v>12</v>
      </c>
      <c r="C53" s="5" t="n">
        <v>131</v>
      </c>
      <c r="D53" s="5" t="n">
        <v>114</v>
      </c>
      <c r="E53" s="5" t="n">
        <v>7</v>
      </c>
      <c r="F53" s="5" t="n">
        <v>6</v>
      </c>
      <c r="G53" s="5" t="n">
        <v>73</v>
      </c>
      <c r="H53" s="5" t="n">
        <v>162982</v>
      </c>
    </row>
    <row r="54" customFormat="false" ht="15" hidden="false" customHeight="false" outlineLevel="0" collapsed="false">
      <c r="A54" s="2" t="s">
        <v>22</v>
      </c>
      <c r="B54" s="3" t="s">
        <v>13</v>
      </c>
      <c r="C54" s="3" t="n">
        <v>133</v>
      </c>
      <c r="D54" s="3" t="n">
        <v>131</v>
      </c>
      <c r="E54" s="3" t="n">
        <v>2</v>
      </c>
      <c r="F54" s="3" t="n">
        <v>5.6</v>
      </c>
      <c r="G54" s="3" t="n">
        <v>96.3</v>
      </c>
      <c r="H54" s="3" t="n">
        <v>227090</v>
      </c>
    </row>
    <row r="55" customFormat="false" ht="15" hidden="false" customHeight="false" outlineLevel="0" collapsed="false">
      <c r="A55" s="4" t="s">
        <v>22</v>
      </c>
      <c r="B55" s="5" t="s">
        <v>14</v>
      </c>
      <c r="C55" s="5" t="n">
        <v>165</v>
      </c>
      <c r="D55" s="5" t="n">
        <v>162</v>
      </c>
      <c r="E55" s="5" t="n">
        <v>2</v>
      </c>
      <c r="F55" s="5" t="n">
        <v>3.9</v>
      </c>
      <c r="G55" s="5" t="n">
        <v>82.3</v>
      </c>
      <c r="H55" s="5" t="n">
        <v>472159</v>
      </c>
    </row>
    <row r="56" customFormat="false" ht="15" hidden="false" customHeight="false" outlineLevel="0" collapsed="false">
      <c r="A56" s="2" t="s">
        <v>23</v>
      </c>
      <c r="B56" s="3" t="s">
        <v>9</v>
      </c>
      <c r="C56" s="3" t="n">
        <v>162</v>
      </c>
      <c r="D56" s="3" t="n">
        <v>146</v>
      </c>
      <c r="E56" s="3" t="n">
        <v>14</v>
      </c>
      <c r="F56" s="3" t="n">
        <v>4.4</v>
      </c>
      <c r="G56" s="3" t="n">
        <v>91.5</v>
      </c>
      <c r="H56" s="3" t="n">
        <v>158033</v>
      </c>
    </row>
    <row r="57" customFormat="false" ht="15" hidden="false" customHeight="false" outlineLevel="0" collapsed="false">
      <c r="A57" s="4" t="s">
        <v>23</v>
      </c>
      <c r="B57" s="5" t="s">
        <v>10</v>
      </c>
      <c r="C57" s="5" t="n">
        <v>81</v>
      </c>
      <c r="D57" s="5" t="n">
        <v>75</v>
      </c>
      <c r="E57" s="5" t="n">
        <v>4</v>
      </c>
      <c r="F57" s="5" t="n">
        <v>8.5</v>
      </c>
      <c r="G57" s="5" t="n">
        <v>97.9</v>
      </c>
      <c r="H57" s="5" t="n">
        <v>158409</v>
      </c>
    </row>
    <row r="58" customFormat="false" ht="15" hidden="false" customHeight="false" outlineLevel="0" collapsed="false">
      <c r="A58" s="2" t="s">
        <v>23</v>
      </c>
      <c r="B58" s="3" t="s">
        <v>11</v>
      </c>
      <c r="C58" s="3" t="n">
        <v>148</v>
      </c>
      <c r="D58" s="3" t="n">
        <v>131</v>
      </c>
      <c r="E58" s="3" t="n">
        <v>16</v>
      </c>
      <c r="F58" s="3" t="n">
        <v>4.1</v>
      </c>
      <c r="G58" s="3" t="n">
        <v>96.3</v>
      </c>
      <c r="H58" s="3" t="n">
        <v>156066</v>
      </c>
    </row>
    <row r="59" customFormat="false" ht="15" hidden="false" customHeight="false" outlineLevel="0" collapsed="false">
      <c r="A59" s="4" t="s">
        <v>23</v>
      </c>
      <c r="B59" s="5" t="s">
        <v>12</v>
      </c>
      <c r="C59" s="5" t="n">
        <v>192</v>
      </c>
      <c r="D59" s="5" t="n">
        <v>170</v>
      </c>
      <c r="E59" s="5" t="n">
        <v>11</v>
      </c>
      <c r="F59" s="5" t="n">
        <v>4.2</v>
      </c>
      <c r="G59" s="5" t="n">
        <v>83.4</v>
      </c>
      <c r="H59" s="5" t="n">
        <v>404802</v>
      </c>
    </row>
    <row r="60" customFormat="false" ht="15" hidden="false" customHeight="false" outlineLevel="0" collapsed="false">
      <c r="A60" s="2" t="s">
        <v>23</v>
      </c>
      <c r="B60" s="3" t="s">
        <v>13</v>
      </c>
      <c r="C60" s="3" t="n">
        <v>170</v>
      </c>
      <c r="D60" s="3" t="n">
        <v>153</v>
      </c>
      <c r="E60" s="3" t="n">
        <v>16</v>
      </c>
      <c r="F60" s="3" t="n">
        <v>2.5</v>
      </c>
      <c r="G60" s="3" t="n">
        <v>93.2</v>
      </c>
      <c r="H60" s="3" t="n">
        <v>276960</v>
      </c>
    </row>
    <row r="61" customFormat="false" ht="15" hidden="false" customHeight="false" outlineLevel="0" collapsed="false">
      <c r="A61" s="4" t="s">
        <v>23</v>
      </c>
      <c r="B61" s="5" t="s">
        <v>14</v>
      </c>
      <c r="C61" s="5" t="n">
        <v>199</v>
      </c>
      <c r="D61" s="5" t="n">
        <v>190</v>
      </c>
      <c r="E61" s="5" t="n">
        <v>1</v>
      </c>
      <c r="F61" s="5" t="n">
        <v>8.1</v>
      </c>
      <c r="G61" s="5" t="n">
        <v>75.5</v>
      </c>
      <c r="H61" s="5" t="n">
        <v>180517</v>
      </c>
    </row>
    <row r="62" customFormat="false" ht="15" hidden="false" customHeight="false" outlineLevel="0" collapsed="false">
      <c r="A62" s="2" t="s">
        <v>24</v>
      </c>
      <c r="B62" s="3" t="s">
        <v>9</v>
      </c>
      <c r="C62" s="3" t="n">
        <v>193</v>
      </c>
      <c r="D62" s="3" t="n">
        <v>167</v>
      </c>
      <c r="E62" s="3" t="n">
        <v>23</v>
      </c>
      <c r="F62" s="3" t="n">
        <v>5.8</v>
      </c>
      <c r="G62" s="3" t="n">
        <v>79.1</v>
      </c>
      <c r="H62" s="3" t="n">
        <v>437105</v>
      </c>
    </row>
    <row r="63" customFormat="false" ht="15" hidden="false" customHeight="false" outlineLevel="0" collapsed="false">
      <c r="A63" s="4" t="s">
        <v>24</v>
      </c>
      <c r="B63" s="5" t="s">
        <v>10</v>
      </c>
      <c r="C63" s="5" t="n">
        <v>106</v>
      </c>
      <c r="D63" s="5" t="n">
        <v>100</v>
      </c>
      <c r="E63" s="5" t="n">
        <v>1</v>
      </c>
      <c r="F63" s="5" t="n">
        <v>6.6</v>
      </c>
      <c r="G63" s="5" t="n">
        <v>94.2</v>
      </c>
      <c r="H63" s="5" t="n">
        <v>384979</v>
      </c>
    </row>
    <row r="64" customFormat="false" ht="15" hidden="false" customHeight="false" outlineLevel="0" collapsed="false">
      <c r="A64" s="2" t="s">
        <v>24</v>
      </c>
      <c r="B64" s="3" t="s">
        <v>11</v>
      </c>
      <c r="C64" s="3" t="n">
        <v>142</v>
      </c>
      <c r="D64" s="3" t="n">
        <v>128</v>
      </c>
      <c r="E64" s="3" t="n">
        <v>14</v>
      </c>
      <c r="F64" s="3" t="n">
        <v>7.9</v>
      </c>
      <c r="G64" s="3" t="n">
        <v>73.3</v>
      </c>
      <c r="H64" s="3" t="n">
        <v>452547</v>
      </c>
    </row>
    <row r="65" customFormat="false" ht="15" hidden="false" customHeight="false" outlineLevel="0" collapsed="false">
      <c r="A65" s="4" t="s">
        <v>24</v>
      </c>
      <c r="B65" s="5" t="s">
        <v>12</v>
      </c>
      <c r="C65" s="5" t="n">
        <v>134</v>
      </c>
      <c r="D65" s="5" t="n">
        <v>121</v>
      </c>
      <c r="E65" s="5" t="n">
        <v>0</v>
      </c>
      <c r="F65" s="5" t="n">
        <v>2.5</v>
      </c>
      <c r="G65" s="5" t="n">
        <v>92</v>
      </c>
      <c r="H65" s="5" t="n">
        <v>454030</v>
      </c>
    </row>
    <row r="66" customFormat="false" ht="15" hidden="false" customHeight="false" outlineLevel="0" collapsed="false">
      <c r="A66" s="2" t="s">
        <v>24</v>
      </c>
      <c r="B66" s="3" t="s">
        <v>13</v>
      </c>
      <c r="C66" s="3" t="n">
        <v>113</v>
      </c>
      <c r="D66" s="3" t="n">
        <v>101</v>
      </c>
      <c r="E66" s="3" t="n">
        <v>11</v>
      </c>
      <c r="F66" s="3" t="n">
        <v>5.2</v>
      </c>
      <c r="G66" s="3" t="n">
        <v>90.3</v>
      </c>
      <c r="H66" s="3" t="n">
        <v>414076</v>
      </c>
    </row>
    <row r="67" customFormat="false" ht="15" hidden="false" customHeight="false" outlineLevel="0" collapsed="false">
      <c r="A67" s="4" t="s">
        <v>24</v>
      </c>
      <c r="B67" s="5" t="s">
        <v>14</v>
      </c>
      <c r="C67" s="5" t="n">
        <v>81</v>
      </c>
      <c r="D67" s="5" t="n">
        <v>69</v>
      </c>
      <c r="E67" s="5" t="n">
        <v>1</v>
      </c>
      <c r="F67" s="5" t="n">
        <v>8.2</v>
      </c>
      <c r="G67" s="5" t="n">
        <v>90</v>
      </c>
      <c r="H67" s="5" t="n">
        <v>198147</v>
      </c>
    </row>
    <row r="68" customFormat="false" ht="15" hidden="false" customHeight="false" outlineLevel="0" collapsed="false">
      <c r="A68" s="2" t="s">
        <v>25</v>
      </c>
      <c r="B68" s="3" t="s">
        <v>9</v>
      </c>
      <c r="C68" s="3" t="n">
        <v>149</v>
      </c>
      <c r="D68" s="3" t="n">
        <v>127</v>
      </c>
      <c r="E68" s="3" t="n">
        <v>11</v>
      </c>
      <c r="F68" s="3" t="n">
        <v>6</v>
      </c>
      <c r="G68" s="3" t="n">
        <v>75.9</v>
      </c>
      <c r="H68" s="3" t="n">
        <v>186818</v>
      </c>
    </row>
    <row r="69" customFormat="false" ht="15" hidden="false" customHeight="false" outlineLevel="0" collapsed="false">
      <c r="A69" s="4" t="s">
        <v>25</v>
      </c>
      <c r="B69" s="5" t="s">
        <v>10</v>
      </c>
      <c r="C69" s="5" t="n">
        <v>85</v>
      </c>
      <c r="D69" s="5" t="n">
        <v>76</v>
      </c>
      <c r="E69" s="5" t="n">
        <v>5</v>
      </c>
      <c r="F69" s="5" t="n">
        <v>7.9</v>
      </c>
      <c r="G69" s="5" t="n">
        <v>92.7</v>
      </c>
      <c r="H69" s="5" t="n">
        <v>140916</v>
      </c>
    </row>
    <row r="70" customFormat="false" ht="15" hidden="false" customHeight="false" outlineLevel="0" collapsed="false">
      <c r="A70" s="2" t="s">
        <v>25</v>
      </c>
      <c r="B70" s="3" t="s">
        <v>11</v>
      </c>
      <c r="C70" s="3" t="n">
        <v>195</v>
      </c>
      <c r="D70" s="3" t="n">
        <v>176</v>
      </c>
      <c r="E70" s="3" t="n">
        <v>6</v>
      </c>
      <c r="F70" s="3" t="n">
        <v>6.6</v>
      </c>
      <c r="G70" s="3" t="n">
        <v>89.3</v>
      </c>
      <c r="H70" s="3" t="n">
        <v>305429</v>
      </c>
    </row>
    <row r="71" customFormat="false" ht="15" hidden="false" customHeight="false" outlineLevel="0" collapsed="false">
      <c r="A71" s="4" t="s">
        <v>25</v>
      </c>
      <c r="B71" s="5" t="s">
        <v>12</v>
      </c>
      <c r="C71" s="5" t="n">
        <v>179</v>
      </c>
      <c r="D71" s="5" t="n">
        <v>169</v>
      </c>
      <c r="E71" s="5" t="n">
        <v>6</v>
      </c>
      <c r="F71" s="5" t="n">
        <v>8.3</v>
      </c>
      <c r="G71" s="5" t="n">
        <v>91.5</v>
      </c>
      <c r="H71" s="5" t="n">
        <v>244118</v>
      </c>
    </row>
    <row r="72" customFormat="false" ht="15" hidden="false" customHeight="false" outlineLevel="0" collapsed="false">
      <c r="A72" s="2" t="s">
        <v>25</v>
      </c>
      <c r="B72" s="3" t="s">
        <v>13</v>
      </c>
      <c r="C72" s="3" t="n">
        <v>190</v>
      </c>
      <c r="D72" s="3" t="n">
        <v>166</v>
      </c>
      <c r="E72" s="3" t="n">
        <v>5</v>
      </c>
      <c r="F72" s="3" t="n">
        <v>7.8</v>
      </c>
      <c r="G72" s="3" t="n">
        <v>72.6</v>
      </c>
      <c r="H72" s="3" t="n">
        <v>294160</v>
      </c>
    </row>
    <row r="73" customFormat="false" ht="15" hidden="false" customHeight="false" outlineLevel="0" collapsed="false">
      <c r="A73" s="4" t="s">
        <v>25</v>
      </c>
      <c r="B73" s="5" t="s">
        <v>14</v>
      </c>
      <c r="C73" s="5" t="n">
        <v>180</v>
      </c>
      <c r="D73" s="5" t="n">
        <v>166</v>
      </c>
      <c r="E73" s="5" t="n">
        <v>12</v>
      </c>
      <c r="F73" s="5" t="n">
        <v>6.5</v>
      </c>
      <c r="G73" s="5" t="n">
        <v>91.1</v>
      </c>
      <c r="H73" s="5" t="n">
        <v>250111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2"/>
  </cols>
  <sheetData>
    <row r="1" customFormat="false" ht="34.5" hidden="false" customHeight="true" outlineLevel="0" collapsed="false">
      <c r="A1" s="6" t="s">
        <v>26</v>
      </c>
      <c r="B1" s="6"/>
      <c r="C1" s="6"/>
      <c r="D1" s="6"/>
      <c r="E1" s="6"/>
      <c r="F1" s="6"/>
      <c r="G1" s="6"/>
      <c r="H1" s="6"/>
      <c r="I1" s="6"/>
      <c r="J1" s="6"/>
    </row>
    <row r="2" customFormat="false" ht="18" hidden="false" customHeight="true" outlineLevel="0" collapsed="false">
      <c r="A2" s="7" t="s">
        <v>27</v>
      </c>
      <c r="B2" s="7"/>
      <c r="C2" s="7"/>
      <c r="D2" s="7"/>
      <c r="E2" s="7"/>
      <c r="F2" s="7"/>
      <c r="G2" s="7"/>
      <c r="H2" s="7"/>
      <c r="I2" s="7"/>
      <c r="J2" s="7"/>
    </row>
    <row r="3" customFormat="false" ht="9.75" hidden="false" customHeight="true" outlineLevel="0" collapsed="false"/>
    <row r="4" customFormat="false" ht="19.5" hidden="false" customHeight="true" outlineLevel="0" collapsed="false">
      <c r="A4" s="8" t="s">
        <v>28</v>
      </c>
      <c r="B4" s="8"/>
      <c r="C4" s="9" t="s">
        <v>29</v>
      </c>
      <c r="D4" s="9"/>
      <c r="E4" s="10" t="s">
        <v>30</v>
      </c>
      <c r="F4" s="10"/>
      <c r="G4" s="11" t="s">
        <v>31</v>
      </c>
      <c r="H4" s="11"/>
      <c r="I4" s="12" t="s">
        <v>32</v>
      </c>
      <c r="J4" s="12"/>
      <c r="K4" s="13" t="s">
        <v>33</v>
      </c>
      <c r="L4" s="13"/>
    </row>
    <row r="5" customFormat="false" ht="31.5" hidden="false" customHeight="true" outlineLevel="0" collapsed="false">
      <c r="A5" s="14" t="n">
        <f aca="false">SUM('Raw Data'!C2:C73)</f>
        <v>10237</v>
      </c>
      <c r="B5" s="14"/>
      <c r="C5" s="15" t="n">
        <f aca="false">SUM('Raw Data'!D2:D73)</f>
        <v>9444</v>
      </c>
      <c r="D5" s="15"/>
      <c r="E5" s="16" t="str">
        <f aca="false">TEXT(SUM('Raw Data'!D2:D73)/SUM('Raw Data'!C2:C73)*100,"0.0")&amp;"%"</f>
        <v>92.3%</v>
      </c>
      <c r="F5" s="16"/>
      <c r="G5" s="17" t="str">
        <f aca="false">TEXT(AVERAGE('Raw Data'!G2:G73),"0.0")&amp;"%"</f>
        <v>85.0%</v>
      </c>
      <c r="H5" s="17"/>
      <c r="I5" s="18" t="n">
        <f aca="false">SUM('Raw Data'!H2:H73)</f>
        <v>22012389</v>
      </c>
      <c r="J5" s="18"/>
      <c r="K5" s="19" t="s">
        <v>34</v>
      </c>
      <c r="L5" s="19"/>
    </row>
    <row r="6" customFormat="false" ht="24" hidden="false" customHeight="true" outlineLevel="0" collapsed="false">
      <c r="A6" s="20" t="s">
        <v>35</v>
      </c>
      <c r="B6" s="20"/>
      <c r="C6" s="21" t="s">
        <v>35</v>
      </c>
      <c r="D6" s="21"/>
      <c r="E6" s="22" t="s">
        <v>35</v>
      </c>
      <c r="F6" s="22"/>
      <c r="G6" s="23" t="s">
        <v>35</v>
      </c>
      <c r="H6" s="23"/>
      <c r="I6" s="24" t="s">
        <v>35</v>
      </c>
      <c r="J6" s="24"/>
      <c r="K6" s="25" t="s">
        <v>35</v>
      </c>
      <c r="L6" s="25"/>
    </row>
    <row r="7" customFormat="false" ht="9.75" hidden="false" customHeight="true" outlineLevel="0" collapsed="false"/>
    <row r="8" customFormat="false" ht="15" hidden="false" customHeight="false" outlineLevel="0" collapsed="false">
      <c r="A8" s="26" t="s">
        <v>0</v>
      </c>
      <c r="B8" s="26" t="s">
        <v>2</v>
      </c>
      <c r="C8" s="26" t="s">
        <v>3</v>
      </c>
      <c r="D8" s="26" t="s">
        <v>4</v>
      </c>
      <c r="E8" s="26" t="s">
        <v>30</v>
      </c>
      <c r="F8" s="26" t="s">
        <v>5</v>
      </c>
      <c r="G8" s="26" t="s">
        <v>6</v>
      </c>
      <c r="H8" s="26" t="s">
        <v>7</v>
      </c>
      <c r="I8" s="26" t="s">
        <v>36</v>
      </c>
    </row>
    <row r="9" customFormat="false" ht="15" hidden="false" customHeight="false" outlineLevel="0" collapsed="false">
      <c r="A9" s="4" t="s">
        <v>37</v>
      </c>
      <c r="B9" s="5" t="n">
        <v>492</v>
      </c>
      <c r="C9" s="5" t="n">
        <v>438</v>
      </c>
      <c r="D9" s="5" t="n">
        <v>12</v>
      </c>
      <c r="E9" s="27" t="n">
        <f aca="false">C9/B9</f>
        <v>0.890243902439024</v>
      </c>
      <c r="F9" s="5" t="n">
        <v>5.2</v>
      </c>
      <c r="G9" s="5" t="n">
        <v>87.4</v>
      </c>
      <c r="H9" s="28" t="n">
        <v>1840000</v>
      </c>
      <c r="I9" s="29" t="s">
        <v>38</v>
      </c>
    </row>
    <row r="10" customFormat="false" ht="15" hidden="false" customHeight="false" outlineLevel="0" collapsed="false">
      <c r="A10" s="30" t="s">
        <v>39</v>
      </c>
      <c r="B10" s="31" t="n">
        <v>456</v>
      </c>
      <c r="C10" s="31" t="n">
        <v>421</v>
      </c>
      <c r="D10" s="31" t="n">
        <v>8</v>
      </c>
      <c r="E10" s="32" t="n">
        <f aca="false">C10/B10</f>
        <v>0.923245614035088</v>
      </c>
      <c r="F10" s="31" t="n">
        <v>4.8</v>
      </c>
      <c r="G10" s="31" t="n">
        <v>89.1</v>
      </c>
      <c r="H10" s="33" t="n">
        <v>1720000</v>
      </c>
      <c r="I10" s="34" t="s">
        <v>40</v>
      </c>
    </row>
    <row r="11" customFormat="false" ht="15" hidden="false" customHeight="false" outlineLevel="0" collapsed="false">
      <c r="A11" s="4" t="s">
        <v>41</v>
      </c>
      <c r="B11" s="5" t="n">
        <v>511</v>
      </c>
      <c r="C11" s="5" t="n">
        <v>478</v>
      </c>
      <c r="D11" s="5" t="n">
        <v>15</v>
      </c>
      <c r="E11" s="27" t="n">
        <f aca="false">C11/B11</f>
        <v>0.935420743639922</v>
      </c>
      <c r="F11" s="5" t="n">
        <v>5.6</v>
      </c>
      <c r="G11" s="5" t="n">
        <v>85.9</v>
      </c>
      <c r="H11" s="28" t="n">
        <v>2010000</v>
      </c>
      <c r="I11" s="34" t="s">
        <v>40</v>
      </c>
    </row>
    <row r="12" customFormat="false" ht="19.5" hidden="false" customHeight="true" outlineLevel="0" collapsed="false">
      <c r="A12" s="35" t="s">
        <v>42</v>
      </c>
      <c r="B12" s="36" t="n">
        <f aca="false">SUM(B9:B11)</f>
        <v>1459</v>
      </c>
      <c r="C12" s="36" t="n">
        <f aca="false">SUM(C9:C11)</f>
        <v>1337</v>
      </c>
      <c r="D12" s="36" t="n">
        <f aca="false">SUM(D9:D11)</f>
        <v>35</v>
      </c>
      <c r="E12" s="37" t="n">
        <f aca="false">C12/B12</f>
        <v>0.916381082933516</v>
      </c>
      <c r="F12" s="36" t="n">
        <f aca="false">AVERAGE(F9:F11)</f>
        <v>5.2</v>
      </c>
      <c r="G12" s="36" t="n">
        <f aca="false">AVERAGE(G9:G11)</f>
        <v>87.4666666666667</v>
      </c>
      <c r="H12" s="38" t="n">
        <f aca="false">SUM(H9:H11)</f>
        <v>5570000</v>
      </c>
      <c r="I12" s="36"/>
    </row>
    <row r="13" customFormat="false" ht="9.75" hidden="false" customHeight="true" outlineLevel="0" collapsed="false"/>
    <row r="14" customFormat="false" ht="21.75" hidden="false" customHeight="true" outlineLevel="0" collapsed="false">
      <c r="A14" s="39" t="s">
        <v>43</v>
      </c>
      <c r="B14" s="39"/>
      <c r="C14" s="39"/>
      <c r="D14" s="39"/>
      <c r="E14" s="39"/>
      <c r="F14" s="39"/>
      <c r="G14" s="39"/>
      <c r="H14" s="39"/>
      <c r="I14" s="39"/>
    </row>
    <row r="15" customFormat="false" ht="15" hidden="false" customHeight="false" outlineLevel="0" collapsed="false">
      <c r="A15" s="40" t="s">
        <v>1</v>
      </c>
      <c r="B15" s="40" t="s">
        <v>2</v>
      </c>
      <c r="C15" s="40" t="s">
        <v>3</v>
      </c>
      <c r="D15" s="40" t="s">
        <v>4</v>
      </c>
      <c r="E15" s="40" t="s">
        <v>44</v>
      </c>
      <c r="F15" s="40" t="s">
        <v>7</v>
      </c>
      <c r="G15" s="40" t="s">
        <v>45</v>
      </c>
    </row>
    <row r="16" customFormat="false" ht="15" hidden="false" customHeight="false" outlineLevel="0" collapsed="false">
      <c r="A16" s="30" t="s">
        <v>9</v>
      </c>
      <c r="B16" s="31" t="n">
        <v>238</v>
      </c>
      <c r="C16" s="31" t="n">
        <v>215</v>
      </c>
      <c r="D16" s="31" t="n">
        <v>8</v>
      </c>
      <c r="E16" s="31" t="n">
        <v>91.2</v>
      </c>
      <c r="F16" s="33" t="n">
        <v>920000</v>
      </c>
      <c r="G16" s="34" t="s">
        <v>46</v>
      </c>
    </row>
    <row r="17" customFormat="false" ht="15" hidden="false" customHeight="false" outlineLevel="0" collapsed="false">
      <c r="A17" s="4" t="s">
        <v>10</v>
      </c>
      <c r="B17" s="5" t="n">
        <v>195</v>
      </c>
      <c r="C17" s="5" t="n">
        <v>183</v>
      </c>
      <c r="D17" s="5" t="n">
        <v>4</v>
      </c>
      <c r="E17" s="5" t="n">
        <v>94.1</v>
      </c>
      <c r="F17" s="28" t="n">
        <v>1350000</v>
      </c>
      <c r="G17" s="34" t="s">
        <v>46</v>
      </c>
    </row>
    <row r="18" customFormat="false" ht="15" hidden="false" customHeight="false" outlineLevel="0" collapsed="false">
      <c r="A18" s="30" t="s">
        <v>11</v>
      </c>
      <c r="B18" s="31" t="n">
        <v>187</v>
      </c>
      <c r="C18" s="31" t="n">
        <v>168</v>
      </c>
      <c r="D18" s="31" t="n">
        <v>10</v>
      </c>
      <c r="E18" s="31" t="n">
        <v>85.6</v>
      </c>
      <c r="F18" s="33" t="n">
        <v>680000</v>
      </c>
      <c r="G18" s="29" t="s">
        <v>47</v>
      </c>
    </row>
    <row r="19" customFormat="false" ht="15" hidden="false" customHeight="false" outlineLevel="0" collapsed="false">
      <c r="A19" s="4" t="s">
        <v>12</v>
      </c>
      <c r="B19" s="5" t="n">
        <v>201</v>
      </c>
      <c r="C19" s="5" t="n">
        <v>187</v>
      </c>
      <c r="D19" s="5" t="n">
        <v>7</v>
      </c>
      <c r="E19" s="5" t="n">
        <v>88.3</v>
      </c>
      <c r="F19" s="28" t="n">
        <v>790000</v>
      </c>
      <c r="G19" s="29" t="s">
        <v>47</v>
      </c>
    </row>
    <row r="20" customFormat="false" ht="15" hidden="false" customHeight="false" outlineLevel="0" collapsed="false">
      <c r="A20" s="30" t="s">
        <v>13</v>
      </c>
      <c r="B20" s="31" t="n">
        <v>176</v>
      </c>
      <c r="C20" s="31" t="n">
        <v>172</v>
      </c>
      <c r="D20" s="31" t="n">
        <v>3</v>
      </c>
      <c r="E20" s="31" t="n">
        <v>96.2</v>
      </c>
      <c r="F20" s="33" t="n">
        <v>1100000</v>
      </c>
      <c r="G20" s="34" t="s">
        <v>46</v>
      </c>
    </row>
    <row r="21" customFormat="false" ht="15" hidden="false" customHeight="false" outlineLevel="0" collapsed="false">
      <c r="A21" s="4" t="s">
        <v>14</v>
      </c>
      <c r="B21" s="5" t="n">
        <v>162</v>
      </c>
      <c r="C21" s="5" t="n">
        <v>158</v>
      </c>
      <c r="D21" s="5" t="n">
        <v>3</v>
      </c>
      <c r="E21" s="5" t="n">
        <v>92.7</v>
      </c>
      <c r="F21" s="28" t="n">
        <v>730000</v>
      </c>
      <c r="G21" s="34" t="s">
        <v>46</v>
      </c>
    </row>
  </sheetData>
  <mergeCells count="21">
    <mergeCell ref="A1:J1"/>
    <mergeCell ref="A2:J2"/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K6:L6"/>
    <mergeCell ref="A14:I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5" min="3" style="0" width="1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0" min="10" style="0" width="10"/>
  </cols>
  <sheetData>
    <row r="1" customFormat="false" ht="31.5" hidden="false" customHeight="true" outlineLevel="0" collapsed="false">
      <c r="A1" s="41" t="s">
        <v>48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customFormat="false" ht="15.75" hidden="false" customHeight="true" outlineLevel="0" collapsed="false">
      <c r="A2" s="7" t="s">
        <v>49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4" customFormat="false" ht="15" hidden="false" customHeight="false" outlineLevel="0" collapsed="false">
      <c r="A4" s="26" t="s">
        <v>50</v>
      </c>
      <c r="B4" s="26" t="s">
        <v>51</v>
      </c>
      <c r="C4" s="26" t="s">
        <v>52</v>
      </c>
      <c r="D4" s="26" t="s">
        <v>53</v>
      </c>
      <c r="E4" s="26" t="s">
        <v>54</v>
      </c>
      <c r="F4" s="26" t="s">
        <v>55</v>
      </c>
      <c r="G4" s="26" t="s">
        <v>56</v>
      </c>
      <c r="H4" s="26" t="s">
        <v>57</v>
      </c>
      <c r="I4" s="26" t="s">
        <v>58</v>
      </c>
      <c r="J4" s="26" t="s">
        <v>59</v>
      </c>
    </row>
    <row r="5" customFormat="false" ht="15" hidden="false" customHeight="false" outlineLevel="0" collapsed="false">
      <c r="A5" s="42" t="n">
        <v>1</v>
      </c>
      <c r="B5" s="43" t="s">
        <v>9</v>
      </c>
      <c r="C5" s="44" t="n">
        <v>0.95</v>
      </c>
      <c r="D5" s="44" t="n">
        <v>0.889</v>
      </c>
      <c r="E5" s="44" t="n">
        <v>0.903</v>
      </c>
      <c r="F5" s="44" t="n">
        <v>0.912</v>
      </c>
      <c r="G5" s="44" t="n">
        <f aca="false">AVERAGE(D5:F5)</f>
        <v>0.901333333333333</v>
      </c>
      <c r="H5" s="44" t="n">
        <f aca="false">G5-C5</f>
        <v>-0.0486666666666665</v>
      </c>
      <c r="I5" s="45" t="s">
        <v>60</v>
      </c>
      <c r="J5" s="46" t="s">
        <v>61</v>
      </c>
    </row>
    <row r="6" customFormat="false" ht="15" hidden="false" customHeight="false" outlineLevel="0" collapsed="false">
      <c r="A6" s="47" t="n">
        <v>2</v>
      </c>
      <c r="B6" s="48" t="s">
        <v>10</v>
      </c>
      <c r="C6" s="49" t="n">
        <v>0.9</v>
      </c>
      <c r="D6" s="49" t="n">
        <v>0.932</v>
      </c>
      <c r="E6" s="49" t="n">
        <v>0.94</v>
      </c>
      <c r="F6" s="49" t="n">
        <v>0.941</v>
      </c>
      <c r="G6" s="49" t="n">
        <f aca="false">AVERAGE(D6:F6)</f>
        <v>0.937666666666667</v>
      </c>
      <c r="H6" s="49" t="n">
        <f aca="false">G6-C6</f>
        <v>0.0376666666666665</v>
      </c>
      <c r="I6" s="50" t="s">
        <v>62</v>
      </c>
      <c r="J6" s="34" t="s">
        <v>63</v>
      </c>
    </row>
    <row r="7" customFormat="false" ht="15" hidden="false" customHeight="false" outlineLevel="0" collapsed="false">
      <c r="A7" s="42" t="n">
        <v>3</v>
      </c>
      <c r="B7" s="43" t="s">
        <v>11</v>
      </c>
      <c r="C7" s="44" t="n">
        <v>0.92</v>
      </c>
      <c r="D7" s="44" t="n">
        <v>0.821</v>
      </c>
      <c r="E7" s="44" t="n">
        <v>0.845</v>
      </c>
      <c r="F7" s="44" t="n">
        <v>0.856</v>
      </c>
      <c r="G7" s="44" t="n">
        <f aca="false">AVERAGE(D7:F7)</f>
        <v>0.840666666666667</v>
      </c>
      <c r="H7" s="44" t="n">
        <f aca="false">G7-C7</f>
        <v>-0.0793333333333335</v>
      </c>
      <c r="I7" s="45" t="s">
        <v>60</v>
      </c>
      <c r="J7" s="46" t="s">
        <v>61</v>
      </c>
    </row>
    <row r="8" customFormat="false" ht="15" hidden="false" customHeight="false" outlineLevel="0" collapsed="false">
      <c r="A8" s="47" t="n">
        <v>4</v>
      </c>
      <c r="B8" s="48" t="s">
        <v>12</v>
      </c>
      <c r="C8" s="49" t="n">
        <v>0.93</v>
      </c>
      <c r="D8" s="49" t="n">
        <v>0.864</v>
      </c>
      <c r="E8" s="49" t="n">
        <v>0.879</v>
      </c>
      <c r="F8" s="49" t="n">
        <v>0.883</v>
      </c>
      <c r="G8" s="49" t="n">
        <f aca="false">AVERAGE(D8:F8)</f>
        <v>0.875333333333333</v>
      </c>
      <c r="H8" s="49" t="n">
        <f aca="false">G8-C8</f>
        <v>-0.0546666666666666</v>
      </c>
      <c r="I8" s="45" t="s">
        <v>60</v>
      </c>
      <c r="J8" s="46" t="s">
        <v>61</v>
      </c>
    </row>
    <row r="9" customFormat="false" ht="15" hidden="false" customHeight="false" outlineLevel="0" collapsed="false">
      <c r="A9" s="42" t="n">
        <v>5</v>
      </c>
      <c r="B9" s="43" t="s">
        <v>13</v>
      </c>
      <c r="C9" s="44" t="n">
        <v>0.95</v>
      </c>
      <c r="D9" s="44" t="n">
        <v>0.951</v>
      </c>
      <c r="E9" s="44" t="n">
        <v>0.958</v>
      </c>
      <c r="F9" s="44" t="n">
        <v>0.962</v>
      </c>
      <c r="G9" s="44" t="n">
        <f aca="false">AVERAGE(D9:F9)</f>
        <v>0.957</v>
      </c>
      <c r="H9" s="44" t="n">
        <f aca="false">G9-C9</f>
        <v>0.00700000000000001</v>
      </c>
      <c r="I9" s="51" t="s">
        <v>64</v>
      </c>
      <c r="J9" s="34" t="s">
        <v>63</v>
      </c>
    </row>
    <row r="10" customFormat="false" ht="15" hidden="false" customHeight="false" outlineLevel="0" collapsed="false">
      <c r="A10" s="47" t="n">
        <v>6</v>
      </c>
      <c r="B10" s="48" t="s">
        <v>14</v>
      </c>
      <c r="C10" s="49" t="n">
        <v>0.9</v>
      </c>
      <c r="D10" s="49" t="n">
        <v>0.918</v>
      </c>
      <c r="E10" s="49" t="n">
        <v>0.923</v>
      </c>
      <c r="F10" s="49" t="n">
        <v>0.927</v>
      </c>
      <c r="G10" s="49" t="n">
        <f aca="false">AVERAGE(D10:F10)</f>
        <v>0.922666666666667</v>
      </c>
      <c r="H10" s="49" t="n">
        <f aca="false">G10-C10</f>
        <v>0.0226666666666666</v>
      </c>
      <c r="I10" s="50" t="s">
        <v>62</v>
      </c>
      <c r="J10" s="34" t="s">
        <v>63</v>
      </c>
    </row>
    <row r="12" customFormat="false" ht="21.75" hidden="false" customHeight="true" outlineLevel="0" collapsed="false">
      <c r="A12" s="39" t="s">
        <v>65</v>
      </c>
      <c r="B12" s="39"/>
      <c r="C12" s="39"/>
      <c r="D12" s="39"/>
      <c r="E12" s="39"/>
      <c r="F12" s="39"/>
      <c r="G12" s="39"/>
      <c r="H12" s="39"/>
      <c r="I12" s="39"/>
      <c r="J12" s="39"/>
    </row>
    <row r="13" customFormat="false" ht="15" hidden="false" customHeight="false" outlineLevel="0" collapsed="false">
      <c r="A13" s="40" t="s">
        <v>66</v>
      </c>
      <c r="B13" s="40" t="s">
        <v>67</v>
      </c>
      <c r="C13" s="40" t="s">
        <v>68</v>
      </c>
      <c r="D13" s="40" t="s">
        <v>69</v>
      </c>
      <c r="E13" s="40" t="s">
        <v>70</v>
      </c>
      <c r="F13" s="40" t="s">
        <v>71</v>
      </c>
      <c r="G13" s="40" t="s">
        <v>72</v>
      </c>
      <c r="H13" s="40" t="s">
        <v>73</v>
      </c>
      <c r="I13" s="40" t="s">
        <v>74</v>
      </c>
      <c r="J13" s="40" t="s">
        <v>75</v>
      </c>
    </row>
    <row r="14" customFormat="false" ht="15" hidden="false" customHeight="false" outlineLevel="0" collapsed="false">
      <c r="A14" s="47" t="s">
        <v>76</v>
      </c>
      <c r="B14" s="48" t="s">
        <v>77</v>
      </c>
      <c r="C14" s="47" t="n">
        <v>145</v>
      </c>
      <c r="D14" s="47" t="n">
        <v>129</v>
      </c>
      <c r="E14" s="47" t="n">
        <v>5</v>
      </c>
      <c r="F14" s="49" t="n">
        <v>0.89</v>
      </c>
      <c r="G14" s="49" t="n">
        <v>0.862</v>
      </c>
      <c r="H14" s="47" t="n">
        <v>2</v>
      </c>
      <c r="I14" s="52" t="n">
        <v>580000</v>
      </c>
      <c r="J14" s="29" t="s">
        <v>38</v>
      </c>
    </row>
    <row r="15" customFormat="false" ht="15" hidden="false" customHeight="false" outlineLevel="0" collapsed="false">
      <c r="A15" s="42" t="s">
        <v>78</v>
      </c>
      <c r="B15" s="43" t="s">
        <v>79</v>
      </c>
      <c r="C15" s="42" t="n">
        <v>162</v>
      </c>
      <c r="D15" s="42" t="n">
        <v>148</v>
      </c>
      <c r="E15" s="42" t="n">
        <v>4</v>
      </c>
      <c r="F15" s="44" t="n">
        <v>0.914</v>
      </c>
      <c r="G15" s="44" t="n">
        <v>0.881</v>
      </c>
      <c r="H15" s="42" t="n">
        <v>1</v>
      </c>
      <c r="I15" s="53" t="n">
        <v>620000</v>
      </c>
      <c r="J15" s="34" t="s">
        <v>80</v>
      </c>
    </row>
    <row r="16" customFormat="false" ht="15" hidden="false" customHeight="false" outlineLevel="0" collapsed="false">
      <c r="A16" s="47" t="s">
        <v>81</v>
      </c>
      <c r="B16" s="48" t="s">
        <v>82</v>
      </c>
      <c r="C16" s="47" t="n">
        <v>153</v>
      </c>
      <c r="D16" s="47" t="n">
        <v>140</v>
      </c>
      <c r="E16" s="47" t="n">
        <v>3</v>
      </c>
      <c r="F16" s="49" t="n">
        <v>0.915</v>
      </c>
      <c r="G16" s="49" t="n">
        <v>0.879</v>
      </c>
      <c r="H16" s="47" t="n">
        <v>1</v>
      </c>
      <c r="I16" s="52" t="n">
        <v>590000</v>
      </c>
      <c r="J16" s="34" t="s">
        <v>80</v>
      </c>
    </row>
    <row r="17" customFormat="false" ht="15" hidden="false" customHeight="false" outlineLevel="0" collapsed="false">
      <c r="A17" s="42" t="s">
        <v>83</v>
      </c>
      <c r="B17" s="43" t="s">
        <v>84</v>
      </c>
      <c r="C17" s="42" t="n">
        <v>154</v>
      </c>
      <c r="D17" s="42" t="n">
        <v>143</v>
      </c>
      <c r="E17" s="42" t="n">
        <v>4</v>
      </c>
      <c r="F17" s="44" t="n">
        <v>0.929</v>
      </c>
      <c r="G17" s="44" t="n">
        <v>0.883</v>
      </c>
      <c r="H17" s="42" t="n">
        <v>1</v>
      </c>
      <c r="I17" s="53" t="n">
        <v>650000</v>
      </c>
      <c r="J17" s="34" t="s">
        <v>80</v>
      </c>
    </row>
    <row r="18" customFormat="false" ht="15" hidden="false" customHeight="false" outlineLevel="0" collapsed="false">
      <c r="A18" s="47" t="s">
        <v>85</v>
      </c>
      <c r="B18" s="48" t="s">
        <v>86</v>
      </c>
      <c r="C18" s="47" t="n">
        <v>148</v>
      </c>
      <c r="D18" s="47" t="n">
        <v>137</v>
      </c>
      <c r="E18" s="47" t="n">
        <v>2</v>
      </c>
      <c r="F18" s="49" t="n">
        <v>0.926</v>
      </c>
      <c r="G18" s="49" t="n">
        <v>0.89</v>
      </c>
      <c r="H18" s="47" t="n">
        <v>1</v>
      </c>
      <c r="I18" s="52" t="n">
        <v>610000</v>
      </c>
      <c r="J18" s="34" t="s">
        <v>80</v>
      </c>
    </row>
    <row r="19" customFormat="false" ht="15" hidden="false" customHeight="false" outlineLevel="0" collapsed="false">
      <c r="A19" s="42" t="s">
        <v>87</v>
      </c>
      <c r="B19" s="43" t="s">
        <v>88</v>
      </c>
      <c r="C19" s="42" t="n">
        <v>152</v>
      </c>
      <c r="D19" s="42" t="n">
        <v>142</v>
      </c>
      <c r="E19" s="42" t="n">
        <v>3</v>
      </c>
      <c r="F19" s="44" t="n">
        <v>0.934</v>
      </c>
      <c r="G19" s="44" t="n">
        <v>0.895</v>
      </c>
      <c r="H19" s="42" t="n">
        <v>0</v>
      </c>
      <c r="I19" s="53" t="n">
        <v>640000</v>
      </c>
      <c r="J19" s="34" t="s">
        <v>80</v>
      </c>
    </row>
    <row r="20" customFormat="false" ht="15" hidden="false" customHeight="false" outlineLevel="0" collapsed="false">
      <c r="A20" s="47" t="s">
        <v>89</v>
      </c>
      <c r="B20" s="48" t="s">
        <v>90</v>
      </c>
      <c r="C20" s="47" t="n">
        <v>150</v>
      </c>
      <c r="D20" s="47" t="n">
        <v>141</v>
      </c>
      <c r="E20" s="47" t="n">
        <v>2</v>
      </c>
      <c r="F20" s="49" t="n">
        <v>0.94</v>
      </c>
      <c r="G20" s="49" t="n">
        <v>0.898</v>
      </c>
      <c r="H20" s="47" t="n">
        <v>0</v>
      </c>
      <c r="I20" s="52" t="n">
        <v>630000</v>
      </c>
      <c r="J20" s="34" t="s">
        <v>80</v>
      </c>
    </row>
    <row r="21" customFormat="false" ht="15" hidden="false" customHeight="false" outlineLevel="0" collapsed="false">
      <c r="A21" s="42" t="s">
        <v>91</v>
      </c>
      <c r="B21" s="43" t="s">
        <v>92</v>
      </c>
      <c r="C21" s="42" t="n">
        <v>128</v>
      </c>
      <c r="D21" s="42" t="n">
        <v>120</v>
      </c>
      <c r="E21" s="42" t="n">
        <v>1</v>
      </c>
      <c r="F21" s="44" t="n">
        <v>0.938</v>
      </c>
      <c r="G21" s="44" t="n">
        <v>0.889</v>
      </c>
      <c r="H21" s="42" t="n">
        <v>0</v>
      </c>
      <c r="I21" s="53" t="n">
        <v>590000</v>
      </c>
      <c r="J21" s="34" t="s">
        <v>80</v>
      </c>
    </row>
    <row r="22" customFormat="false" ht="15" hidden="false" customHeight="false" outlineLevel="0" collapsed="false">
      <c r="A22" s="47" t="s">
        <v>93</v>
      </c>
      <c r="B22" s="48" t="s">
        <v>94</v>
      </c>
      <c r="C22" s="47" t="n">
        <v>165</v>
      </c>
      <c r="D22" s="47" t="n">
        <v>150</v>
      </c>
      <c r="E22" s="47" t="n">
        <v>5</v>
      </c>
      <c r="F22" s="49" t="n">
        <v>0.909</v>
      </c>
      <c r="G22" s="49" t="n">
        <v>0.851</v>
      </c>
      <c r="H22" s="47" t="n">
        <v>2</v>
      </c>
      <c r="I22" s="52" t="n">
        <v>670000</v>
      </c>
      <c r="J22" s="29" t="s">
        <v>38</v>
      </c>
    </row>
    <row r="23" customFormat="false" ht="15" hidden="false" customHeight="false" outlineLevel="0" collapsed="false">
      <c r="A23" s="42" t="s">
        <v>95</v>
      </c>
      <c r="B23" s="43" t="s">
        <v>96</v>
      </c>
      <c r="C23" s="42" t="n">
        <v>172</v>
      </c>
      <c r="D23" s="42" t="n">
        <v>160</v>
      </c>
      <c r="E23" s="42" t="n">
        <v>5</v>
      </c>
      <c r="F23" s="44" t="n">
        <v>0.93</v>
      </c>
      <c r="G23" s="44" t="n">
        <v>0.86</v>
      </c>
      <c r="H23" s="42" t="n">
        <v>1</v>
      </c>
      <c r="I23" s="53" t="n">
        <v>680000</v>
      </c>
      <c r="J23" s="34" t="s">
        <v>80</v>
      </c>
    </row>
    <row r="24" customFormat="false" ht="15" hidden="false" customHeight="false" outlineLevel="0" collapsed="false">
      <c r="A24" s="47" t="s">
        <v>97</v>
      </c>
      <c r="B24" s="48" t="s">
        <v>98</v>
      </c>
      <c r="C24" s="47" t="n">
        <v>163</v>
      </c>
      <c r="D24" s="47" t="n">
        <v>154</v>
      </c>
      <c r="E24" s="47" t="n">
        <v>4</v>
      </c>
      <c r="F24" s="49" t="n">
        <v>0.945</v>
      </c>
      <c r="G24" s="49" t="n">
        <v>0.865</v>
      </c>
      <c r="H24" s="47" t="n">
        <v>1</v>
      </c>
      <c r="I24" s="52" t="n">
        <v>650000</v>
      </c>
      <c r="J24" s="34" t="s">
        <v>80</v>
      </c>
    </row>
    <row r="25" customFormat="false" ht="15" hidden="false" customHeight="false" outlineLevel="0" collapsed="false">
      <c r="A25" s="42" t="s">
        <v>99</v>
      </c>
      <c r="B25" s="43" t="s">
        <v>100</v>
      </c>
      <c r="C25" s="42" t="n">
        <v>168</v>
      </c>
      <c r="D25" s="42" t="n">
        <v>159</v>
      </c>
      <c r="E25" s="42" t="n">
        <v>6</v>
      </c>
      <c r="F25" s="44" t="n">
        <v>0.946</v>
      </c>
      <c r="G25" s="44" t="n">
        <v>0.863</v>
      </c>
      <c r="H25" s="42" t="n">
        <v>1</v>
      </c>
      <c r="I25" s="53" t="n">
        <v>710000</v>
      </c>
      <c r="J25" s="34" t="s">
        <v>80</v>
      </c>
    </row>
  </sheetData>
  <mergeCells count="3">
    <mergeCell ref="A1:L1"/>
    <mergeCell ref="A2:L2"/>
    <mergeCell ref="A12:J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8"/>
    <col collapsed="false" customWidth="true" hidden="false" outlineLevel="0" max="5" min="4" style="0" width="20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9" min="9" style="0" width="12"/>
    <col collapsed="false" customWidth="true" hidden="false" outlineLevel="0" max="10" min="10" style="0" width="24"/>
  </cols>
  <sheetData>
    <row r="1" customFormat="false" ht="27.75" hidden="false" customHeight="true" outlineLevel="0" collapsed="false">
      <c r="A1" s="54" t="s">
        <v>101</v>
      </c>
      <c r="B1" s="54"/>
      <c r="C1" s="54"/>
      <c r="D1" s="54"/>
      <c r="E1" s="54"/>
      <c r="F1" s="54"/>
      <c r="G1" s="54"/>
      <c r="H1" s="54"/>
      <c r="I1" s="54"/>
      <c r="J1" s="54"/>
    </row>
    <row r="2" customFormat="false" ht="15" hidden="false" customHeight="false" outlineLevel="0" collapsed="false">
      <c r="A2" s="40" t="s">
        <v>102</v>
      </c>
      <c r="B2" s="40" t="s">
        <v>103</v>
      </c>
      <c r="C2" s="40" t="s">
        <v>104</v>
      </c>
      <c r="D2" s="40" t="s">
        <v>105</v>
      </c>
      <c r="E2" s="40" t="s">
        <v>106</v>
      </c>
      <c r="F2" s="40" t="s">
        <v>107</v>
      </c>
      <c r="G2" s="40" t="s">
        <v>108</v>
      </c>
      <c r="H2" s="40" t="s">
        <v>109</v>
      </c>
      <c r="I2" s="40" t="s">
        <v>36</v>
      </c>
      <c r="J2" s="40" t="s">
        <v>110</v>
      </c>
    </row>
    <row r="3" customFormat="false" ht="15" hidden="false" customHeight="false" outlineLevel="0" collapsed="false">
      <c r="A3" s="55" t="s">
        <v>111</v>
      </c>
      <c r="B3" s="55" t="s">
        <v>112</v>
      </c>
      <c r="C3" s="56" t="s">
        <v>113</v>
      </c>
      <c r="D3" s="55" t="s">
        <v>114</v>
      </c>
      <c r="E3" s="55" t="s">
        <v>115</v>
      </c>
      <c r="F3" s="34" t="s">
        <v>116</v>
      </c>
      <c r="G3" s="55" t="s">
        <v>117</v>
      </c>
      <c r="H3" s="55" t="n">
        <v>1.7</v>
      </c>
      <c r="I3" s="34" t="s">
        <v>118</v>
      </c>
      <c r="J3" s="55" t="s">
        <v>119</v>
      </c>
    </row>
    <row r="4" customFormat="false" ht="15" hidden="false" customHeight="false" outlineLevel="0" collapsed="false">
      <c r="A4" s="57" t="s">
        <v>120</v>
      </c>
      <c r="B4" s="57" t="s">
        <v>121</v>
      </c>
      <c r="C4" s="58" t="s">
        <v>122</v>
      </c>
      <c r="D4" s="57" t="s">
        <v>123</v>
      </c>
      <c r="E4" s="57" t="s">
        <v>115</v>
      </c>
      <c r="F4" s="46" t="s">
        <v>46</v>
      </c>
      <c r="G4" s="57" t="s">
        <v>124</v>
      </c>
      <c r="H4" s="57" t="n">
        <v>1.9</v>
      </c>
      <c r="I4" s="34" t="s">
        <v>118</v>
      </c>
      <c r="J4" s="57" t="s">
        <v>119</v>
      </c>
    </row>
    <row r="5" customFormat="false" ht="15" hidden="false" customHeight="false" outlineLevel="0" collapsed="false">
      <c r="A5" s="55" t="s">
        <v>125</v>
      </c>
      <c r="B5" s="55" t="s">
        <v>126</v>
      </c>
      <c r="C5" s="56" t="s">
        <v>127</v>
      </c>
      <c r="D5" s="55" t="s">
        <v>123</v>
      </c>
      <c r="E5" s="55" t="s">
        <v>115</v>
      </c>
      <c r="F5" s="29" t="s">
        <v>47</v>
      </c>
      <c r="G5" s="55" t="s">
        <v>128</v>
      </c>
      <c r="H5" s="55" t="n">
        <v>2</v>
      </c>
      <c r="I5" s="34" t="s">
        <v>118</v>
      </c>
      <c r="J5" s="55" t="s">
        <v>119</v>
      </c>
    </row>
    <row r="6" customFormat="false" ht="15" hidden="false" customHeight="false" outlineLevel="0" collapsed="false">
      <c r="A6" s="57" t="s">
        <v>129</v>
      </c>
      <c r="B6" s="57" t="s">
        <v>130</v>
      </c>
      <c r="C6" s="58" t="s">
        <v>113</v>
      </c>
      <c r="D6" s="57" t="s">
        <v>114</v>
      </c>
      <c r="E6" s="57" t="s">
        <v>115</v>
      </c>
      <c r="F6" s="29" t="s">
        <v>47</v>
      </c>
      <c r="G6" s="57" t="s">
        <v>131</v>
      </c>
      <c r="H6" s="57" t="n">
        <v>10.2</v>
      </c>
      <c r="I6" s="34" t="s">
        <v>118</v>
      </c>
      <c r="J6" s="57" t="s">
        <v>119</v>
      </c>
    </row>
    <row r="7" customFormat="false" ht="15" hidden="false" customHeight="false" outlineLevel="0" collapsed="false">
      <c r="A7" s="55" t="s">
        <v>132</v>
      </c>
      <c r="B7" s="55" t="s">
        <v>133</v>
      </c>
      <c r="C7" s="56" t="s">
        <v>134</v>
      </c>
      <c r="D7" s="55" t="s">
        <v>135</v>
      </c>
      <c r="E7" s="55" t="s">
        <v>115</v>
      </c>
      <c r="F7" s="34" t="s">
        <v>116</v>
      </c>
      <c r="G7" s="55" t="s">
        <v>136</v>
      </c>
      <c r="H7" s="55" t="n">
        <v>5.3</v>
      </c>
      <c r="I7" s="34" t="s">
        <v>118</v>
      </c>
      <c r="J7" s="55" t="s">
        <v>119</v>
      </c>
    </row>
    <row r="8" customFormat="false" ht="15" hidden="false" customHeight="false" outlineLevel="0" collapsed="false">
      <c r="A8" s="57" t="s">
        <v>137</v>
      </c>
      <c r="B8" s="57" t="s">
        <v>138</v>
      </c>
      <c r="C8" s="58" t="s">
        <v>139</v>
      </c>
      <c r="D8" s="57" t="s">
        <v>114</v>
      </c>
      <c r="E8" s="57" t="s">
        <v>115</v>
      </c>
      <c r="F8" s="46" t="s">
        <v>46</v>
      </c>
      <c r="G8" s="57" t="s">
        <v>140</v>
      </c>
      <c r="H8" s="57" t="n">
        <v>7.6</v>
      </c>
      <c r="I8" s="34" t="s">
        <v>118</v>
      </c>
      <c r="J8" s="57" t="s">
        <v>119</v>
      </c>
    </row>
    <row r="9" customFormat="false" ht="15" hidden="false" customHeight="false" outlineLevel="0" collapsed="false">
      <c r="A9" s="55" t="s">
        <v>141</v>
      </c>
      <c r="B9" s="55" t="s">
        <v>142</v>
      </c>
      <c r="C9" s="56" t="s">
        <v>122</v>
      </c>
      <c r="D9" s="55" t="s">
        <v>143</v>
      </c>
      <c r="E9" s="55" t="s">
        <v>115</v>
      </c>
      <c r="F9" s="29" t="s">
        <v>47</v>
      </c>
      <c r="G9" s="55" t="s">
        <v>144</v>
      </c>
      <c r="H9" s="55" t="n">
        <v>9.6</v>
      </c>
      <c r="I9" s="34" t="s">
        <v>118</v>
      </c>
      <c r="J9" s="55" t="s">
        <v>119</v>
      </c>
    </row>
    <row r="10" customFormat="false" ht="15" hidden="false" customHeight="false" outlineLevel="0" collapsed="false">
      <c r="A10" s="57" t="s">
        <v>145</v>
      </c>
      <c r="B10" s="57" t="s">
        <v>146</v>
      </c>
      <c r="C10" s="58" t="s">
        <v>139</v>
      </c>
      <c r="D10" s="57" t="s">
        <v>114</v>
      </c>
      <c r="E10" s="57" t="s">
        <v>115</v>
      </c>
      <c r="F10" s="29" t="s">
        <v>47</v>
      </c>
      <c r="G10" s="57" t="s">
        <v>147</v>
      </c>
      <c r="H10" s="57" t="n">
        <v>6.4</v>
      </c>
      <c r="I10" s="34" t="s">
        <v>118</v>
      </c>
      <c r="J10" s="57" t="s">
        <v>119</v>
      </c>
    </row>
    <row r="11" customFormat="false" ht="15" hidden="false" customHeight="false" outlineLevel="0" collapsed="false">
      <c r="A11" s="55" t="s">
        <v>148</v>
      </c>
      <c r="B11" s="55" t="s">
        <v>149</v>
      </c>
      <c r="C11" s="56" t="s">
        <v>127</v>
      </c>
      <c r="D11" s="55" t="s">
        <v>114</v>
      </c>
      <c r="E11" s="55" t="s">
        <v>115</v>
      </c>
      <c r="F11" s="46" t="s">
        <v>46</v>
      </c>
      <c r="G11" s="55" t="s">
        <v>150</v>
      </c>
      <c r="H11" s="55" t="n">
        <v>1.9</v>
      </c>
      <c r="I11" s="34" t="s">
        <v>118</v>
      </c>
      <c r="J11" s="55" t="s">
        <v>119</v>
      </c>
    </row>
    <row r="12" customFormat="false" ht="15" hidden="false" customHeight="false" outlineLevel="0" collapsed="false">
      <c r="A12" s="57" t="s">
        <v>151</v>
      </c>
      <c r="B12" s="57" t="s">
        <v>121</v>
      </c>
      <c r="C12" s="58" t="s">
        <v>139</v>
      </c>
      <c r="D12" s="57" t="s">
        <v>123</v>
      </c>
      <c r="E12" s="57" t="s">
        <v>115</v>
      </c>
      <c r="F12" s="46" t="s">
        <v>46</v>
      </c>
      <c r="G12" s="57" t="s">
        <v>121</v>
      </c>
      <c r="H12" s="57" t="n">
        <v>7.1</v>
      </c>
      <c r="I12" s="34" t="s">
        <v>118</v>
      </c>
      <c r="J12" s="57" t="s">
        <v>119</v>
      </c>
    </row>
    <row r="13" customFormat="false" ht="15" hidden="false" customHeight="false" outlineLevel="0" collapsed="false">
      <c r="A13" s="55" t="s">
        <v>152</v>
      </c>
      <c r="B13" s="55" t="s">
        <v>153</v>
      </c>
      <c r="C13" s="56" t="s">
        <v>139</v>
      </c>
      <c r="D13" s="55" t="s">
        <v>135</v>
      </c>
      <c r="E13" s="55" t="s">
        <v>115</v>
      </c>
      <c r="F13" s="34" t="s">
        <v>116</v>
      </c>
      <c r="G13" s="55" t="s">
        <v>153</v>
      </c>
      <c r="H13" s="55" t="n">
        <v>3.1</v>
      </c>
      <c r="I13" s="34" t="s">
        <v>118</v>
      </c>
      <c r="J13" s="55" t="s">
        <v>119</v>
      </c>
    </row>
    <row r="14" customFormat="false" ht="15" hidden="false" customHeight="false" outlineLevel="0" collapsed="false">
      <c r="A14" s="57" t="s">
        <v>154</v>
      </c>
      <c r="B14" s="57" t="s">
        <v>133</v>
      </c>
      <c r="C14" s="58" t="s">
        <v>127</v>
      </c>
      <c r="D14" s="57" t="s">
        <v>135</v>
      </c>
      <c r="E14" s="57" t="s">
        <v>115</v>
      </c>
      <c r="F14" s="29" t="s">
        <v>47</v>
      </c>
      <c r="G14" s="57" t="s">
        <v>136</v>
      </c>
      <c r="H14" s="57" t="n">
        <v>11.7</v>
      </c>
      <c r="I14" s="34" t="s">
        <v>118</v>
      </c>
      <c r="J14" s="57" t="s">
        <v>119</v>
      </c>
    </row>
    <row r="15" customFormat="false" ht="15" hidden="false" customHeight="false" outlineLevel="0" collapsed="false">
      <c r="A15" s="55" t="s">
        <v>155</v>
      </c>
      <c r="B15" s="55" t="s">
        <v>156</v>
      </c>
      <c r="C15" s="56" t="s">
        <v>122</v>
      </c>
      <c r="D15" s="55" t="s">
        <v>157</v>
      </c>
      <c r="E15" s="55" t="s">
        <v>115</v>
      </c>
      <c r="F15" s="34" t="s">
        <v>116</v>
      </c>
      <c r="G15" s="55" t="s">
        <v>156</v>
      </c>
      <c r="H15" s="55" t="n">
        <v>7</v>
      </c>
      <c r="I15" s="34" t="s">
        <v>118</v>
      </c>
      <c r="J15" s="55" t="s">
        <v>119</v>
      </c>
    </row>
    <row r="16" customFormat="false" ht="15" hidden="false" customHeight="false" outlineLevel="0" collapsed="false">
      <c r="A16" s="57" t="s">
        <v>158</v>
      </c>
      <c r="B16" s="57" t="s">
        <v>159</v>
      </c>
      <c r="C16" s="58" t="s">
        <v>122</v>
      </c>
      <c r="D16" s="57" t="s">
        <v>157</v>
      </c>
      <c r="E16" s="57" t="s">
        <v>115</v>
      </c>
      <c r="F16" s="34" t="s">
        <v>116</v>
      </c>
      <c r="G16" s="57" t="s">
        <v>160</v>
      </c>
      <c r="H16" s="57" t="n">
        <v>8.3</v>
      </c>
      <c r="I16" s="34" t="s">
        <v>118</v>
      </c>
      <c r="J16" s="57" t="s">
        <v>119</v>
      </c>
    </row>
    <row r="17" customFormat="false" ht="15" hidden="false" customHeight="false" outlineLevel="0" collapsed="false">
      <c r="A17" s="55" t="s">
        <v>161</v>
      </c>
      <c r="B17" s="55" t="s">
        <v>140</v>
      </c>
      <c r="C17" s="56" t="s">
        <v>122</v>
      </c>
      <c r="D17" s="55" t="s">
        <v>135</v>
      </c>
      <c r="E17" s="55" t="s">
        <v>115</v>
      </c>
      <c r="F17" s="29" t="s">
        <v>47</v>
      </c>
      <c r="G17" s="55" t="s">
        <v>140</v>
      </c>
      <c r="H17" s="55" t="n">
        <v>3.8</v>
      </c>
      <c r="I17" s="34" t="s">
        <v>118</v>
      </c>
      <c r="J17" s="55" t="s">
        <v>119</v>
      </c>
    </row>
    <row r="18" customFormat="false" ht="15" hidden="false" customHeight="false" outlineLevel="0" collapsed="false">
      <c r="A18" s="57" t="s">
        <v>162</v>
      </c>
      <c r="B18" s="57" t="s">
        <v>163</v>
      </c>
      <c r="C18" s="58" t="s">
        <v>127</v>
      </c>
      <c r="D18" s="57" t="s">
        <v>164</v>
      </c>
      <c r="E18" s="57" t="s">
        <v>115</v>
      </c>
      <c r="F18" s="29" t="s">
        <v>47</v>
      </c>
      <c r="G18" s="57" t="s">
        <v>165</v>
      </c>
      <c r="H18" s="57" t="n">
        <v>6.2</v>
      </c>
      <c r="I18" s="34" t="s">
        <v>118</v>
      </c>
      <c r="J18" s="57" t="s">
        <v>119</v>
      </c>
    </row>
    <row r="19" customFormat="false" ht="15" hidden="false" customHeight="false" outlineLevel="0" collapsed="false">
      <c r="A19" s="55" t="s">
        <v>166</v>
      </c>
      <c r="B19" s="55" t="s">
        <v>124</v>
      </c>
      <c r="C19" s="56" t="s">
        <v>113</v>
      </c>
      <c r="D19" s="55" t="s">
        <v>123</v>
      </c>
      <c r="E19" s="55" t="s">
        <v>115</v>
      </c>
      <c r="F19" s="46" t="s">
        <v>46</v>
      </c>
      <c r="G19" s="55" t="s">
        <v>124</v>
      </c>
      <c r="H19" s="55" t="n">
        <v>9.2</v>
      </c>
      <c r="I19" s="34" t="s">
        <v>118</v>
      </c>
      <c r="J19" s="55" t="s">
        <v>119</v>
      </c>
    </row>
    <row r="20" customFormat="false" ht="15" hidden="false" customHeight="false" outlineLevel="0" collapsed="false">
      <c r="A20" s="57" t="s">
        <v>167</v>
      </c>
      <c r="B20" s="57" t="s">
        <v>168</v>
      </c>
      <c r="C20" s="58" t="s">
        <v>139</v>
      </c>
      <c r="D20" s="57" t="s">
        <v>114</v>
      </c>
      <c r="E20" s="57" t="s">
        <v>115</v>
      </c>
      <c r="F20" s="46" t="s">
        <v>46</v>
      </c>
      <c r="G20" s="57" t="s">
        <v>169</v>
      </c>
      <c r="H20" s="57" t="n">
        <v>3.2</v>
      </c>
      <c r="I20" s="34" t="s">
        <v>118</v>
      </c>
      <c r="J20" s="57" t="s">
        <v>119</v>
      </c>
    </row>
    <row r="21" customFormat="false" ht="15" hidden="false" customHeight="false" outlineLevel="0" collapsed="false">
      <c r="A21" s="55" t="s">
        <v>170</v>
      </c>
      <c r="B21" s="55" t="s">
        <v>171</v>
      </c>
      <c r="C21" s="56" t="s">
        <v>113</v>
      </c>
      <c r="D21" s="55" t="s">
        <v>143</v>
      </c>
      <c r="E21" s="55" t="s">
        <v>115</v>
      </c>
      <c r="F21" s="34" t="s">
        <v>116</v>
      </c>
      <c r="G21" s="55" t="s">
        <v>172</v>
      </c>
      <c r="H21" s="55" t="n">
        <v>5.2</v>
      </c>
      <c r="I21" s="34" t="s">
        <v>118</v>
      </c>
      <c r="J21" s="55" t="s">
        <v>119</v>
      </c>
    </row>
    <row r="22" customFormat="false" ht="15" hidden="false" customHeight="false" outlineLevel="0" collapsed="false">
      <c r="A22" s="57" t="s">
        <v>173</v>
      </c>
      <c r="B22" s="57" t="s">
        <v>174</v>
      </c>
      <c r="C22" s="58" t="s">
        <v>127</v>
      </c>
      <c r="D22" s="57" t="s">
        <v>143</v>
      </c>
      <c r="E22" s="57" t="s">
        <v>115</v>
      </c>
      <c r="F22" s="29" t="s">
        <v>47</v>
      </c>
      <c r="G22" s="57" t="s">
        <v>175</v>
      </c>
      <c r="H22" s="57" t="n">
        <v>2.5</v>
      </c>
      <c r="I22" s="34" t="s">
        <v>118</v>
      </c>
      <c r="J22" s="57" t="s">
        <v>119</v>
      </c>
    </row>
    <row r="23" customFormat="false" ht="15" hidden="false" customHeight="false" outlineLevel="0" collapsed="false">
      <c r="A23" s="55" t="s">
        <v>176</v>
      </c>
      <c r="B23" s="55" t="s">
        <v>177</v>
      </c>
      <c r="C23" s="56" t="s">
        <v>178</v>
      </c>
      <c r="D23" s="55" t="s">
        <v>114</v>
      </c>
      <c r="E23" s="55" t="s">
        <v>115</v>
      </c>
      <c r="F23" s="34" t="s">
        <v>116</v>
      </c>
      <c r="G23" s="55" t="s">
        <v>177</v>
      </c>
      <c r="H23" s="55" t="n">
        <v>2.2</v>
      </c>
      <c r="I23" s="34" t="s">
        <v>118</v>
      </c>
      <c r="J23" s="55" t="s">
        <v>119</v>
      </c>
    </row>
    <row r="24" customFormat="false" ht="15" hidden="false" customHeight="false" outlineLevel="0" collapsed="false">
      <c r="A24" s="57" t="s">
        <v>179</v>
      </c>
      <c r="B24" s="57" t="s">
        <v>180</v>
      </c>
      <c r="C24" s="58" t="s">
        <v>178</v>
      </c>
      <c r="D24" s="57" t="s">
        <v>143</v>
      </c>
      <c r="E24" s="57" t="s">
        <v>115</v>
      </c>
      <c r="F24" s="29" t="s">
        <v>47</v>
      </c>
      <c r="G24" s="57" t="s">
        <v>144</v>
      </c>
      <c r="H24" s="57" t="n">
        <v>10.3</v>
      </c>
      <c r="I24" s="34" t="s">
        <v>118</v>
      </c>
      <c r="J24" s="57" t="s">
        <v>119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4"/>
  </cols>
  <sheetData>
    <row r="1" customFormat="false" ht="27.75" hidden="false" customHeight="true" outlineLevel="0" collapsed="false">
      <c r="A1" s="59" t="s">
        <v>181</v>
      </c>
      <c r="B1" s="59"/>
      <c r="C1" s="59"/>
      <c r="D1" s="59"/>
      <c r="E1" s="59"/>
      <c r="F1" s="59"/>
      <c r="G1" s="59"/>
      <c r="H1" s="59"/>
    </row>
    <row r="3" customFormat="false" ht="15" hidden="false" customHeight="false" outlineLevel="0" collapsed="false">
      <c r="A3" s="26" t="s">
        <v>1</v>
      </c>
      <c r="B3" s="26" t="s">
        <v>8</v>
      </c>
      <c r="C3" s="26" t="s">
        <v>15</v>
      </c>
      <c r="D3" s="26" t="s">
        <v>16</v>
      </c>
      <c r="E3" s="26" t="s">
        <v>182</v>
      </c>
    </row>
    <row r="4" customFormat="false" ht="15" hidden="false" customHeight="false" outlineLevel="0" collapsed="false">
      <c r="A4" s="30" t="s">
        <v>9</v>
      </c>
      <c r="B4" s="33" t="n">
        <v>449781</v>
      </c>
      <c r="C4" s="33" t="n">
        <v>359088</v>
      </c>
      <c r="D4" s="33" t="n">
        <v>487001</v>
      </c>
      <c r="E4" s="33" t="n">
        <v>1295870</v>
      </c>
    </row>
    <row r="5" customFormat="false" ht="15" hidden="false" customHeight="false" outlineLevel="0" collapsed="false">
      <c r="A5" s="4" t="s">
        <v>10</v>
      </c>
      <c r="B5" s="28" t="n">
        <v>621277</v>
      </c>
      <c r="C5" s="28" t="n">
        <v>305315</v>
      </c>
      <c r="D5" s="28" t="n">
        <v>317977</v>
      </c>
      <c r="E5" s="28" t="n">
        <v>1244569</v>
      </c>
    </row>
    <row r="6" customFormat="false" ht="15" hidden="false" customHeight="false" outlineLevel="0" collapsed="false">
      <c r="A6" s="30" t="s">
        <v>11</v>
      </c>
      <c r="B6" s="33" t="n">
        <v>560956</v>
      </c>
      <c r="C6" s="33" t="n">
        <v>329351</v>
      </c>
      <c r="D6" s="33" t="n">
        <v>471726</v>
      </c>
      <c r="E6" s="33" t="n">
        <v>1362033</v>
      </c>
    </row>
    <row r="7" customFormat="false" ht="15" hidden="false" customHeight="false" outlineLevel="0" collapsed="false">
      <c r="A7" s="4" t="s">
        <v>12</v>
      </c>
      <c r="B7" s="28" t="n">
        <v>585548</v>
      </c>
      <c r="C7" s="28" t="n">
        <v>310408</v>
      </c>
      <c r="D7" s="28" t="n">
        <v>546042</v>
      </c>
      <c r="E7" s="28" t="n">
        <v>1441998</v>
      </c>
    </row>
    <row r="8" customFormat="false" ht="15" hidden="false" customHeight="false" outlineLevel="0" collapsed="false">
      <c r="A8" s="30" t="s">
        <v>13</v>
      </c>
      <c r="B8" s="33" t="n">
        <v>392563</v>
      </c>
      <c r="C8" s="33" t="n">
        <v>299658</v>
      </c>
      <c r="D8" s="33" t="n">
        <v>325061</v>
      </c>
      <c r="E8" s="33" t="n">
        <v>1017282</v>
      </c>
    </row>
    <row r="9" customFormat="false" ht="15" hidden="false" customHeight="false" outlineLevel="0" collapsed="false">
      <c r="A9" s="4" t="s">
        <v>14</v>
      </c>
      <c r="B9" s="28" t="n">
        <v>507355</v>
      </c>
      <c r="C9" s="28" t="n">
        <v>499242</v>
      </c>
      <c r="D9" s="28" t="n">
        <v>316624</v>
      </c>
      <c r="E9" s="28" t="n">
        <v>1323221</v>
      </c>
    </row>
    <row r="10" customFormat="false" ht="15" hidden="false" customHeight="false" outlineLevel="0" collapsed="false">
      <c r="A10" s="35" t="s">
        <v>183</v>
      </c>
      <c r="B10" s="38" t="n">
        <v>3117480</v>
      </c>
      <c r="C10" s="38" t="n">
        <v>2103062</v>
      </c>
      <c r="D10" s="38" t="n">
        <v>2464431</v>
      </c>
      <c r="E10" s="38" t="n">
        <v>7684973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2026-04-06T09:15:44Z</dcterms:created>
  <dc:creator>openpyxl</dc:creator>
  <dc:description/>
  <dc:language>en-US</dc:language>
  <cp:lastModifiedBy/>
  <dcterms:modified xsi:type="dcterms:W3CDTF">2026-04-06T09:15:56Z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